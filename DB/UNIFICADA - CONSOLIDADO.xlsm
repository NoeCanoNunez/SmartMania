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SmartMania\DB\"/>
    </mc:Choice>
  </mc:AlternateContent>
  <xr:revisionPtr revIDLastSave="0" documentId="13_ncr:1_{27F63BB7-9CFE-4029-A95D-2178D7EEF3CE}" xr6:coauthVersionLast="47" xr6:coauthVersionMax="47" xr10:uidLastSave="{00000000-0000-0000-0000-000000000000}"/>
  <bookViews>
    <workbookView xWindow="-120" yWindow="-120" windowWidth="29040" windowHeight="15840" activeTab="2" xr2:uid="{ABA5C771-BD01-4333-854C-04933D577DA2}"/>
  </bookViews>
  <sheets>
    <sheet name="PRECIOS" sheetId="153" r:id="rId1"/>
    <sheet name="CARACTERISTICAS" sheetId="119" r:id="rId2"/>
    <sheet name="UNIFICADO" sheetId="1" r:id="rId3"/>
  </sheets>
  <definedNames>
    <definedName name="_xlnm._FilterDatabase" localSheetId="2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" i="1" l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L21" i="1"/>
  <c r="L11" i="1"/>
  <c r="L12" i="1"/>
  <c r="L13" i="1"/>
  <c r="L14" i="1"/>
  <c r="L15" i="1"/>
  <c r="L16" i="1"/>
  <c r="L17" i="1"/>
  <c r="L18" i="1"/>
  <c r="L19" i="1"/>
  <c r="L20" i="1"/>
  <c r="L22" i="1"/>
  <c r="L23" i="1"/>
  <c r="L24" i="1"/>
  <c r="L25" i="1"/>
  <c r="L26" i="1"/>
  <c r="L27" i="1"/>
  <c r="L28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19" i="153"/>
  <c r="H19" i="153"/>
  <c r="G19" i="153"/>
  <c r="C19" i="153"/>
  <c r="L18" i="153"/>
  <c r="H18" i="153"/>
  <c r="G18" i="153"/>
  <c r="C18" i="153"/>
  <c r="L17" i="153"/>
  <c r="H17" i="153"/>
  <c r="G17" i="153"/>
  <c r="C17" i="153"/>
  <c r="L16" i="153"/>
  <c r="H16" i="153"/>
  <c r="G16" i="153"/>
  <c r="C16" i="153"/>
  <c r="L15" i="153"/>
  <c r="H15" i="153"/>
  <c r="G15" i="153"/>
  <c r="C15" i="153"/>
  <c r="L14" i="153"/>
  <c r="H14" i="153"/>
  <c r="G14" i="153"/>
  <c r="C14" i="153"/>
  <c r="L13" i="153"/>
  <c r="H13" i="153"/>
  <c r="G13" i="153"/>
  <c r="C13" i="153"/>
  <c r="L12" i="153"/>
  <c r="H12" i="153"/>
  <c r="G12" i="153"/>
  <c r="C12" i="153"/>
  <c r="L11" i="153"/>
  <c r="H11" i="153"/>
  <c r="G11" i="153"/>
  <c r="C11" i="153"/>
  <c r="L10" i="153"/>
  <c r="H10" i="153"/>
  <c r="G10" i="153"/>
  <c r="C10" i="153"/>
  <c r="L9" i="153"/>
  <c r="H9" i="153"/>
  <c r="G9" i="153"/>
  <c r="C9" i="153"/>
  <c r="L8" i="153"/>
  <c r="H8" i="153"/>
  <c r="G8" i="153"/>
  <c r="C8" i="153"/>
  <c r="L7" i="153"/>
  <c r="H7" i="153"/>
  <c r="G7" i="153"/>
  <c r="C7" i="153"/>
  <c r="L6" i="153"/>
  <c r="H6" i="153"/>
  <c r="G6" i="153"/>
  <c r="C6" i="153"/>
  <c r="L5" i="153"/>
  <c r="H5" i="153"/>
  <c r="G5" i="153"/>
  <c r="C5" i="153"/>
  <c r="L4" i="153"/>
  <c r="H4" i="153"/>
  <c r="G4" i="153"/>
  <c r="C4" i="153"/>
  <c r="L3" i="153"/>
  <c r="H3" i="153"/>
  <c r="G3" i="153"/>
  <c r="C3" i="153"/>
  <c r="L2" i="153"/>
  <c r="H2" i="153"/>
  <c r="G2" i="153"/>
  <c r="C2" i="153"/>
  <c r="S11" i="1"/>
  <c r="B4" i="119"/>
  <c r="B5" i="119"/>
  <c r="B6" i="119"/>
  <c r="B7" i="119"/>
  <c r="B8" i="119"/>
  <c r="B9" i="119"/>
  <c r="B10" i="119"/>
  <c r="B11" i="119"/>
  <c r="B12" i="119"/>
  <c r="B13" i="119"/>
  <c r="B14" i="119"/>
  <c r="B15" i="119"/>
  <c r="B16" i="119"/>
  <c r="B17" i="119"/>
  <c r="B18" i="119"/>
  <c r="B19" i="119"/>
  <c r="B2" i="119" l="1"/>
  <c r="B3" i="119"/>
  <c r="E11" i="1" l="1"/>
  <c r="S12" i="1"/>
  <c r="E28" i="1" l="1"/>
  <c r="F28" i="1"/>
  <c r="G28" i="1"/>
  <c r="H28" i="1"/>
  <c r="I28" i="1"/>
  <c r="J28" i="1"/>
  <c r="K28" i="1"/>
  <c r="M28" i="1"/>
  <c r="N28" i="1"/>
  <c r="O28" i="1"/>
  <c r="P28" i="1"/>
  <c r="Q28" i="1"/>
  <c r="R28" i="1"/>
  <c r="S28" i="1"/>
  <c r="S13" i="1" l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</calcChain>
</file>

<file path=xl/sharedStrings.xml><?xml version="1.0" encoding="utf-8"?>
<sst xmlns="http://schemas.openxmlformats.org/spreadsheetml/2006/main" count="475" uniqueCount="294">
  <si>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</si>
  <si>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</si>
  <si>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</si>
  <si>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</si>
  <si>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</si>
  <si>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</si>
  <si>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</si>
  <si>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</si>
  <si>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</si>
  <si>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</si>
  <si>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</si>
  <si>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</si>
  <si>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</si>
  <si>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</si>
  <si>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</si>
  <si>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</si>
  <si>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</si>
  <si>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</si>
  <si>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</si>
  <si>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</si>
  <si>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</si>
  <si>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</si>
  <si>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</si>
  <si>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</si>
  <si>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</si>
  <si>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</si>
  <si>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</si>
  <si>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</si>
  <si>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</si>
  <si>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</si>
  <si>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</si>
  <si>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</si>
  <si>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</si>
  <si>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</si>
  <si>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</si>
  <si>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</si>
  <si>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</si>
  <si>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</si>
  <si>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</si>
  <si>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</si>
  <si>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</si>
  <si>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</si>
  <si>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</si>
  <si>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</si>
  <si>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</si>
  <si>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</si>
  <si>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</si>
  <si>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</si>
  <si>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</si>
  <si>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</si>
  <si>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</si>
  <si>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</si>
  <si>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</si>
  <si>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</si>
  <si>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</si>
  <si>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</si>
  <si>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</si>
  <si>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</si>
  <si>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</si>
  <si>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</si>
  <si>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</si>
  <si>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</si>
  <si>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</si>
  <si>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</si>
  <si>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</si>
  <si>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</si>
  <si>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</si>
  <si>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</si>
  <si>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</si>
  <si>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</si>
  <si>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</si>
  <si>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</si>
  <si>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</si>
  <si>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</si>
  <si>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</si>
  <si>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</si>
  <si>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</si>
  <si>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</si>
  <si>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</si>
  <si>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</si>
  <si>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</si>
  <si>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</si>
  <si>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</si>
  <si>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</si>
  <si>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</si>
  <si>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</si>
  <si>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</si>
  <si>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</si>
  <si>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</si>
  <si>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</si>
  <si>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</si>
  <si>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</si>
  <si>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</si>
  <si>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</si>
  <si>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</si>
  <si>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</si>
  <si>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</si>
  <si>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</si>
  <si>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</si>
  <si>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</si>
  <si>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</si>
  <si>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</si>
  <si>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</si>
  <si>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</si>
  <si>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</si>
  <si>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</si>
  <si>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</si>
  <si>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</si>
  <si>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</si>
  <si>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</si>
  <si>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</si>
  <si>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</si>
  <si>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</si>
  <si>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</si>
  <si>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</si>
  <si>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</si>
  <si>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</si>
  <si>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</si>
  <si>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</si>
  <si>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</si>
  <si>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</si>
  <si>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</si>
  <si>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</si>
  <si>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</si>
  <si>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</si>
  <si>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</si>
  <si>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</si>
  <si>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</si>
  <si>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</si>
  <si>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</si>
  <si>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</si>
  <si>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</si>
  <si>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</si>
  <si>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</si>
  <si>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</si>
  <si>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</si>
  <si>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</si>
  <si>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</si>
  <si>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</si>
  <si>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</si>
  <si>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</si>
  <si>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</si>
  <si>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</si>
  <si>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</si>
  <si>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</si>
  <si>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</si>
  <si>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</si>
  <si>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ram</t>
  </si>
  <si>
    <t>peso</t>
  </si>
  <si>
    <t>altura</t>
  </si>
  <si>
    <t>anchura</t>
  </si>
  <si>
    <t>grosor</t>
  </si>
  <si>
    <t>bateria</t>
  </si>
  <si>
    <t>red</t>
  </si>
  <si>
    <t>6.28 FullHD 120Hz</t>
  </si>
  <si>
    <t>Snapdragon 695</t>
  </si>
  <si>
    <t>6.55 FULLHD+ 120Hz</t>
  </si>
  <si>
    <t>Snapdragon 778G</t>
  </si>
  <si>
    <t>ESTA?</t>
  </si>
  <si>
    <t>6.75 HD+ 90Hz</t>
  </si>
  <si>
    <t>13+2+2</t>
  </si>
  <si>
    <t xml:space="preserve"> Unisoc T606</t>
  </si>
  <si>
    <t>OPPO A17 64GB</t>
  </si>
  <si>
    <t>img</t>
  </si>
  <si>
    <t>id</t>
  </si>
  <si>
    <t>XIAOMI REDMI 10 2022 64GB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</si>
  <si>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</si>
  <si>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</si>
  <si>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</si>
  <si>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</si>
  <si>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</si>
  <si>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</si>
  <si>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</si>
  <si>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</si>
  <si>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</si>
  <si>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</si>
  <si>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</si>
  <si>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</si>
  <si>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</si>
  <si>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</si>
  <si>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</si>
  <si>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</si>
  <si>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SAMSUNG</t>
  </si>
  <si>
    <t>ZTE</t>
  </si>
  <si>
    <t>MOTOROLA</t>
  </si>
  <si>
    <t>OPPO</t>
  </si>
  <si>
    <t>HONOR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</si>
  <si>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</si>
  <si>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</si>
  <si>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</si>
  <si>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</si>
  <si>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</si>
  <si>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</si>
  <si>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</si>
  <si>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</si>
  <si>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</si>
  <si>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MOTOROLA MOTO G23 128GB</t>
  </si>
  <si>
    <t>6.5 LCD HD+ 90Hz</t>
  </si>
  <si>
    <t>50 Mpx f/1.8</t>
  </si>
  <si>
    <t>16Mpx f/1.8</t>
  </si>
  <si>
    <t>7..47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</si>
  <si>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</si>
  <si>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</si>
  <si>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</si>
  <si>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</si>
  <si>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</si>
  <si>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</si>
  <si>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</si>
  <si>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6.6 Full HD+ 120Hz</t>
  </si>
  <si>
    <t>48 MP f/1.8</t>
  </si>
  <si>
    <t>13 MP f/2.2</t>
  </si>
  <si>
    <t>6.4 Full HD+ 120Hz</t>
  </si>
  <si>
    <t>Exynos 1380</t>
  </si>
  <si>
    <t>VIVO Y22s 128GB</t>
  </si>
  <si>
    <t>VIVO Y35 128GB</t>
  </si>
  <si>
    <t>VIVO Y16 64GB</t>
  </si>
  <si>
    <t>SAMSUNG GALAXY A24 128GB</t>
  </si>
  <si>
    <t>XIAOMI REDMI 12C 64GB</t>
  </si>
  <si>
    <t>XIAOMI REDMI A2 32GB</t>
  </si>
  <si>
    <t>XIAOMI REDMI NOTE 12 128GB</t>
  </si>
  <si>
    <t>6.5 AMOLED FullHD+</t>
  </si>
  <si>
    <t>6.51 LCD HD+</t>
  </si>
  <si>
    <t>5000 10W</t>
  </si>
  <si>
    <t>6.55 LCD HD+ 90Hz</t>
  </si>
  <si>
    <t>5000 18W</t>
  </si>
  <si>
    <t>6.58 LCD FullHD+ 90Hz</t>
  </si>
  <si>
    <t>Snapdragon 680</t>
  </si>
  <si>
    <t>5000 44W</t>
  </si>
  <si>
    <t>6.71 LCD HD+</t>
  </si>
  <si>
    <t>5000 33W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</si>
  <si>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</si>
  <si>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</si>
  <si>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</si>
  <si>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</si>
  <si>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</si>
  <si>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</si>
  <si>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</si>
  <si>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</si>
  <si>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</si>
  <si>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</si>
  <si>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</si>
  <si>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</si>
  <si>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</si>
  <si>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</si>
  <si>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</si>
  <si>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</si>
  <si>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</si>
  <si>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</si>
  <si>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</si>
  <si>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</si>
  <si>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</si>
  <si>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</si>
  <si>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</si>
  <si>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</si>
  <si>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</si>
  <si>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</si>
  <si>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</si>
  <si>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</si>
  <si>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</si>
  <si>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</si>
  <si>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</si>
  <si>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</si>
  <si>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Precios</t>
  </si>
  <si>
    <t>Alta</t>
  </si>
  <si>
    <t>Port|Ren</t>
  </si>
  <si>
    <t>Precios Bajos</t>
  </si>
  <si>
    <t>Dif Normal</t>
  </si>
  <si>
    <t>Dif Reno</t>
  </si>
  <si>
    <t>Precio Mercado</t>
  </si>
  <si>
    <t>Precio Promo Tarjeta</t>
  </si>
  <si>
    <t>Columna3</t>
  </si>
  <si>
    <t>Columna2</t>
  </si>
  <si>
    <t>https://compy.pe/galeria?pagesize=24&amp;page=1&amp;sort=search&amp;search=MOTOROLA%20MOTO%20E13%2064GB&amp;view=list</t>
  </si>
  <si>
    <t>https://compy.pe/galeria?pagesize=24&amp;page=1&amp;sort=search&amp;search=MOTOROLA%20MOTO%20E22i%2064GB&amp;view=list</t>
  </si>
  <si>
    <t>https://compy.pe/galeria?pagesize=24&amp;page=1&amp;sort=search&amp;search=SAMSUNG%20GALAXY%20A04%2064GB&amp;view=list</t>
  </si>
  <si>
    <t>https://compy.pe/galeria?pagesize=24&amp;page=1&amp;sort=search&amp;search=ZTE%20BLADE%20A71%2064GB&amp;view=list</t>
  </si>
  <si>
    <t>https://compy.pe/galeria?pagesize=24&amp;page=1&amp;sort=search&amp;search=SAMSUNG%20GALAXY%20A04S%2064GB&amp;view=list</t>
  </si>
  <si>
    <t>https://compy.pe/galeria?pagesize=24&amp;page=1&amp;sort=search&amp;search=OPPO%20A17%2064GB&amp;view=list</t>
  </si>
  <si>
    <t>https://compy.pe/galeria?pagesize=24&amp;page=1&amp;sort=search&amp;search=MOTOROLA%20MOTO%20G23%20128GB&amp;view=list</t>
  </si>
  <si>
    <t>https://compy.pe/galeria?pagesize=24&amp;page=1&amp;sort=search&amp;search=OPPO%20A57%20128GB&amp;view=list</t>
  </si>
  <si>
    <t>https://compy.pe/galeria?pagesize=24&amp;page=1&amp;sort=search&amp;search=SAMSUNG%20GALAXY%20A14%20128GB%205G&amp;view=list</t>
  </si>
  <si>
    <t>https://compy.pe/galeria?pagesize=24&amp;page=1&amp;sort=search&amp;search=HONOR%20X7A%20128GB&amp;view=list</t>
  </si>
  <si>
    <t>https://compy.pe/galeria?pagesize=24&amp;page=1&amp;sort=search&amp;search=MOTOROLA%20MOTO%20G53%20128GB%205G&amp;view=list</t>
  </si>
  <si>
    <t>https://compy.pe/galeria?pagesize=24&amp;page=1&amp;sort=search&amp;search=ZTE%20BLADE%20V40%20SMART%20128GB%205G&amp;view=list</t>
  </si>
  <si>
    <t>https://compy.pe/galeria?pagesize=24&amp;page=1&amp;sort=search&amp;search=OPPO%20A78%20128GB&amp;view=list</t>
  </si>
  <si>
    <t>https://compy.pe/galeria?pagesize=24&amp;page=1&amp;sort=search&amp;search=SAMSUNG%20GALAXY%20A24%20128GB&amp;view=list</t>
  </si>
  <si>
    <t>https://compy.pe/galeria?pagesize=24&amp;page=1&amp;sort=search&amp;search=SAMSUNG%20GALAXY%20S20FE%20128GB%205G&amp;view=list</t>
  </si>
  <si>
    <t>https://compy.pe/galeria?pagesize=24&amp;page=1&amp;sort=search&amp;search=OPPO%20RENO%207%20256GB&amp;view=list</t>
  </si>
  <si>
    <t>https://compy.pe/galeria?pagesize=24&amp;page=1&amp;sort=search&amp;search=SAMSUNG%20GALAXY%20A54%20256GB%205G&amp;view=list</t>
  </si>
  <si>
    <t>https://compy.pe/galeria?pagesize=24&amp;page=1&amp;sort=search&amp;search=SAMSUNG%20GALAXY%20S21FE%20128GB&amp;view=list</t>
  </si>
  <si>
    <t>price</t>
  </si>
  <si>
    <t>Mdtk Helio G36</t>
  </si>
  <si>
    <t>Mdtk Helio P35</t>
  </si>
  <si>
    <t>procesador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</si>
</sst>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S/&quot;\ #,##0;[Red]\-&quot;S/&quot;\ #,##0"/>
    <numFmt numFmtId="44" formatCode="_-&quot;S/&quot;\ * #,##0.00_-;\-&quot;S/&quot;\ * #,##0.00_-;_-&quot;S/&quot;\ * &quot;-&quot;??_-;_-@_-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44" fontId="7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2" fillId="0" borderId="3" xfId="0" applyFont="1" applyBorder="1"/>
    <xf numFmtId="0" fontId="0" fillId="0" borderId="1" xfId="0" applyBorder="1"/>
    <xf numFmtId="0" fontId="2" fillId="0" borderId="4" xfId="0" applyFont="1" applyBorder="1" applyAlignment="1">
      <alignment wrapText="1"/>
    </xf>
    <xf numFmtId="0" fontId="2" fillId="0" borderId="4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0" fillId="0" borderId="2" xfId="0" applyBorder="1" applyAlignment="1">
      <alignment horizontal="center" wrapText="1"/>
    </xf>
    <xf numFmtId="0" fontId="5" fillId="0" borderId="2" xfId="0" applyFont="1" applyBorder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wrapText="1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4" fontId="0" fillId="2" borderId="0" xfId="3" applyFont="1" applyFill="1" applyAlignment="1">
      <alignment horizontal="center"/>
    </xf>
    <xf numFmtId="44" fontId="0" fillId="0" borderId="0" xfId="3" applyFont="1" applyAlignment="1">
      <alignment horizontal="center"/>
    </xf>
    <xf numFmtId="44" fontId="0" fillId="3" borderId="0" xfId="3" applyFont="1" applyFill="1" applyAlignment="1">
      <alignment horizontal="center"/>
    </xf>
    <xf numFmtId="0" fontId="8" fillId="0" borderId="0" xfId="4" applyAlignment="1">
      <alignment horizontal="center"/>
    </xf>
    <xf numFmtId="6" fontId="0" fillId="0" borderId="0" xfId="0" applyNumberFormat="1" applyAlignment="1">
      <alignment horizontal="center"/>
    </xf>
    <xf numFmtId="44" fontId="0" fillId="0" borderId="0" xfId="3" applyFont="1" applyAlignment="1">
      <alignment horizontal="center" vertical="center"/>
    </xf>
    <xf numFmtId="44" fontId="0" fillId="0" borderId="0" xfId="3" applyFont="1"/>
    <xf numFmtId="1" fontId="0" fillId="0" borderId="0" xfId="3" applyNumberFormat="1" applyFont="1"/>
    <xf numFmtId="0" fontId="0" fillId="0" borderId="0" xfId="0" applyBorder="1"/>
    <xf numFmtId="0" fontId="0" fillId="0" borderId="0" xfId="0" applyBorder="1" applyAlignment="1">
      <alignment wrapText="1"/>
    </xf>
    <xf numFmtId="0" fontId="3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4" fillId="0" borderId="2" xfId="0" applyFont="1" applyBorder="1" applyAlignment="1">
      <alignment wrapText="1"/>
    </xf>
    <xf numFmtId="0" fontId="2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5" fontId="3" fillId="0" borderId="0" xfId="0" applyNumberFormat="1" applyFont="1" applyBorder="1" applyAlignment="1">
      <alignment horizontal="center" wrapText="1"/>
    </xf>
  </cellXfs>
  <cellStyles count="5">
    <cellStyle name="Hipervínculo" xfId="4" builtinId="8"/>
    <cellStyle name="Moneda" xfId="3" builtinId="4"/>
    <cellStyle name="Normal" xfId="0" builtinId="0"/>
    <cellStyle name="Normal 2 2" xfId="2" xr:uid="{9F977AB6-A59D-4FCD-AE68-AFA1E74C1D19}"/>
    <cellStyle name="Normal 30" xfId="1" xr:uid="{09689F08-8D85-406F-92D7-1C3B7A3268A0}"/>
  </cellStyles>
  <dxfs count="55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" formatCode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S/&quot;\ * #,##0.00_-;\-&quot;S/&quot;\ * #,##0.00_-;_-&quot;S/&quot;\ * &quot;-&quot;??_-;_-@_-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BA000-6D5A-48B6-A183-24AEA73A5EF3}" name="Tabla1" displayName="Tabla1" ref="A1:M19" totalsRowShown="0" headerRowDxfId="19" dataDxfId="18">
  <autoFilter ref="A1:M19" xr:uid="{0C7BA000-6D5A-48B6-A183-24AEA73A5EF3}"/>
  <tableColumns count="13">
    <tableColumn id="15" xr3:uid="{ACC7ED2C-A33B-487F-BA66-9ECA255EE853}" name="Marca"/>
    <tableColumn id="1" xr3:uid="{3B4A391C-466D-46BE-9043-A49769DC42E6}" name="Equipo"/>
    <tableColumn id="14" xr3:uid="{0D602404-A954-4321-A4FE-68AAB0F3A593}" name="Precios" dataDxfId="17" dataCellStyle="Moneda">
      <calculatedColumnFormula>IF(Tabla1[[#This Row],[Precios Bajos]]+50&gt;MIN(Tabla1[[#This Row],[Precio Mercado]:[Columna3]]),Tabla1[[#This Row],[Precios Bajos]]+50,MIN(Tabla1[[#This Row],[Precio Mercado]:[Columna3]]))</calculatedColumnFormula>
    </tableColumn>
    <tableColumn id="4" xr3:uid="{005E8430-C630-4874-A600-99F15E946594}" name="Alta" dataDxfId="16"/>
    <tableColumn id="5" xr3:uid="{110653AE-3934-43C3-81DD-72676FBC3521}" name="Port|Ren" dataDxfId="15"/>
    <tableColumn id="6" xr3:uid="{69551229-5907-4999-AF54-AB995F47BA30}" name="Precios Bajos" dataDxfId="14"/>
    <tableColumn id="8" xr3:uid="{A59E36AE-340D-4CA1-AF85-06B36906BDF4}" name="Dif Normal" dataDxfId="13">
      <calculatedColumnFormula>Tabla1[[#This Row],[Alta]]-Tabla1[[#This Row],[Precios Bajos]]</calculatedColumnFormula>
    </tableColumn>
    <tableColumn id="7" xr3:uid="{70EEB7FE-B893-472C-B1EA-AC445552E527}" name="Dif Reno" dataDxfId="12">
      <calculatedColumnFormula>Tabla1[[#This Row],[Port|Ren]]-Tabla1[[#This Row],[Precios Bajos]]</calculatedColumnFormula>
    </tableColumn>
    <tableColumn id="9" xr3:uid="{87CDAFD2-4921-4DEE-AE3A-D5DB01EDFA02}" name="Precio Mercado" dataDxfId="11"/>
    <tableColumn id="10" xr3:uid="{B3E87E9E-0314-4569-ADBB-4AE700B9CDBA}" name="Precio Promo Tarjeta" dataDxfId="10"/>
    <tableColumn id="13" xr3:uid="{DC974FA0-8810-4231-8CF2-FD17D7C1A749}" name="Columna3" dataDxfId="9"/>
    <tableColumn id="11" xr3:uid="{06EE5F68-AA30-4DBA-9228-5E4885A653C7}" name="Columna1" dataDxfId="8">
      <calculatedColumnFormula>"https://compy.pe/galeria?pagesize=24&amp;page=1&amp;sort=search&amp;search="&amp;SUBSTITUTE(Tabla1[[#This Row],[Equipo]]," ","%20")&amp;"&amp;view=list"</calculatedColumnFormula>
    </tableColumn>
    <tableColumn id="12" xr3:uid="{25790536-6C35-4629-9763-BDAA3F726B69}" name="Columna2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U166" totalsRowShown="0" headerRowDxfId="54" dataDxfId="52" headerRowBorderDxfId="53" tableBorderDxfId="51">
  <autoFilter ref="D1:U166" xr:uid="{4B71F3B6-068C-4358-836F-C4B61EF2E6AC}">
    <filterColumn colId="8">
      <filters>
        <filter val="0"/>
        <filter val="-"/>
      </filters>
    </filterColumn>
  </autoFilter>
  <sortState xmlns:xlrd2="http://schemas.microsoft.com/office/spreadsheetml/2017/richdata2" ref="D2:U166">
    <sortCondition ref="L1:L166"/>
  </sortState>
  <tableColumns count="18">
    <tableColumn id="1" xr3:uid="{D932A830-1C5D-47CD-BBF4-1814A1054A85}" name="EQUIPOS" dataDxfId="50"/>
    <tableColumn id="19" xr3:uid="{9D32459C-8A5D-45BF-9ECA-71459333AAD1}" name="img" dataDxfId="49"/>
    <tableColumn id="3" xr3:uid="{02C87839-D173-4682-B68D-6A8E17C3026E}" name="version" dataDxfId="48"/>
    <tableColumn id="4" xr3:uid="{7F464708-5AF1-412D-9306-7721B0311624}" name="display" dataDxfId="47"/>
    <tableColumn id="5" xr3:uid="{9840FEF3-82E3-486E-87E8-678814731646}" name="cam_princ" dataDxfId="46"/>
    <tableColumn id="6" xr3:uid="{058ED438-2AD3-4DB9-AEAB-2E7C99BBC6AE}" name="cam_cant" dataDxfId="45"/>
    <tableColumn id="7" xr3:uid="{AA0FC66C-C4A5-4EDF-90C9-3ABEFAF9A8F8}" name="cam_front" dataDxfId="44"/>
    <tableColumn id="8" xr3:uid="{742DEA9E-0461-46DA-9BAF-3C54F5A7BC83}" name="mem_int" dataDxfId="43"/>
    <tableColumn id="9" xr3:uid="{F57E3C51-9926-46FF-A8E3-C6E5CA8254FE}" name="mem_exp" dataDxfId="3"/>
    <tableColumn id="10" xr3:uid="{C33B6913-E8A1-44EA-BF2D-DCBBABF2F1A6}" name="nucleos" dataDxfId="1"/>
    <tableColumn id="12" xr3:uid="{37711F67-6042-4E94-83CF-5CBD77B91949}" name="ram" dataDxfId="2"/>
    <tableColumn id="13" xr3:uid="{56D95EAF-5EAE-44AC-A841-42DDCC21DFFB}" name="peso" dataDxfId="42"/>
    <tableColumn id="14" xr3:uid="{0C8CFB70-FEE5-427A-A11A-C63234DF2631}" name="altura" dataDxfId="41"/>
    <tableColumn id="15" xr3:uid="{600F43F5-2CB9-4B9B-8E25-757F8BBEA8CD}" name="anchura" dataDxfId="40"/>
    <tableColumn id="16" xr3:uid="{475E1BE2-448C-41B3-8A8F-8249F2CF2181}" name="grosor" dataDxfId="39"/>
    <tableColumn id="17" xr3:uid="{F59BB169-5A84-4521-A4D6-3C5AE1F1D974}" name="bateria" dataDxfId="38"/>
    <tableColumn id="18" xr3:uid="{6B6EF8C5-DC23-4D45-81DB-283809974281}" name="red" dataDxfId="37"/>
    <tableColumn id="2" xr3:uid="{995E5915-F862-4EC5-9285-20817595BD9A}" name="Columna1" dataDxfId="3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9" totalsRowShown="0">
  <autoFilter ref="A1:B19" xr:uid="{9CCB71CE-9562-425E-B208-6EA8CB276A09}"/>
  <sortState xmlns:xlrd2="http://schemas.microsoft.com/office/spreadsheetml/2017/richdata2" ref="A2:B126">
    <sortCondition descending="1" ref="B1:B126"/>
  </sortState>
  <tableColumns count="2">
    <tableColumn id="1" xr3:uid="{733D7729-6E42-4F85-861F-E8C3B70BE830}" name="SEGÚN LISTA"/>
    <tableColumn id="2" xr3:uid="{603781F3-638F-4538-B5DC-897D283A8DB2}" name="ESTA?" dataDxfId="35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T28" totalsRowShown="0" headerRowDxfId="34" dataDxfId="33">
  <autoFilter ref="C10:T28" xr:uid="{4BA569FF-27DC-4054-B512-1670EDBA5CF5}"/>
  <sortState xmlns:xlrd2="http://schemas.microsoft.com/office/spreadsheetml/2017/richdata2" ref="C11:T28">
    <sortCondition ref="C10:C28"/>
  </sortState>
  <tableColumns count="18">
    <tableColumn id="1" xr3:uid="{E9E6544D-CA73-49A8-A5E4-692B6C7C1F57}" name="Equipo"/>
    <tableColumn id="2" xr3:uid="{27C21211-A73C-41FC-88EF-6BE099410358}" name="price" dataDxfId="5" dataCellStyle="Moneda">
      <calculatedColumnFormula>VLOOKUP(UNIFICADA[[#This Row],[Equipo]],Tabla1[[Equipo]:[Precios]],2,0)</calculatedColumnFormula>
    </tableColumn>
    <tableColumn id="269" xr3:uid="{D07B1630-BEDF-42F4-AFF7-F13C41516397}" name="version" dataDxfId="6">
      <calculatedColumnFormula>IFERROR(VLOOKUP($C11,EQUIPOS[],UNIFICADO!E$9,0),"")</calculatedColumnFormula>
    </tableColumn>
    <tableColumn id="270" xr3:uid="{E773B4AD-ADCB-48F1-A5F9-576AB2B2A25A}" name="display" dataDxfId="32">
      <calculatedColumnFormula>IFERROR(VLOOKUP($C11,EQUIPOS[],UNIFICADO!F$9,0),"")</calculatedColumnFormula>
    </tableColumn>
    <tableColumn id="271" xr3:uid="{E5D555CB-E6A7-423A-AEC0-CDB583FDD6EB}" name="cam_princ" dataDxfId="31">
      <calculatedColumnFormula>IFERROR(VLOOKUP($C11,EQUIPOS[],UNIFICADO!G$9,0),"")</calculatedColumnFormula>
    </tableColumn>
    <tableColumn id="272" xr3:uid="{4150901E-1416-4645-9A56-4DF5800E7988}" name="cam_cant" dataDxfId="30">
      <calculatedColumnFormula>IFERROR(VLOOKUP($C11,EQUIPOS[],UNIFICADO!H$9,0),"")</calculatedColumnFormula>
    </tableColumn>
    <tableColumn id="273" xr3:uid="{9E68B7B1-0BF4-499B-ABB9-AF1BF137F67D}" name="cam_front" dataDxfId="29">
      <calculatedColumnFormula>IFERROR(VLOOKUP($C11,EQUIPOS[],UNIFICADO!I$9,0),"")</calculatedColumnFormula>
    </tableColumn>
    <tableColumn id="274" xr3:uid="{72639959-911E-402B-8DA0-F36D279BC07A}" name="mem_int" dataDxfId="28">
      <calculatedColumnFormula>IFERROR(VLOOKUP($C11,EQUIPOS[],UNIFICADO!J$9,0),"")</calculatedColumnFormula>
    </tableColumn>
    <tableColumn id="275" xr3:uid="{48AFCC39-FEE4-49C8-881B-4D6A49B2769D}" name="mem_exp" dataDxfId="27">
      <calculatedColumnFormula>IFERROR(VLOOKUP($C11,EQUIPOS[],UNIFICADO!K$9,0),"")</calculatedColumnFormula>
    </tableColumn>
    <tableColumn id="276" xr3:uid="{09447B07-5E4F-4926-9818-FA289C24555A}" name="procesador" dataDxfId="4">
      <calculatedColumnFormula>IFERROR(VLOOKUP($C11,EQUIPOS[],UNIFICADO!L$9,0),"")</calculatedColumnFormula>
    </tableColumn>
    <tableColumn id="278" xr3:uid="{6AD3E60F-131B-4990-ADD9-D39B09245E6A}" name="ram" dataDxfId="26">
      <calculatedColumnFormula>IFERROR(VLOOKUP($C11,EQUIPOS[],UNIFICADO!M$9,0),"")</calculatedColumnFormula>
    </tableColumn>
    <tableColumn id="279" xr3:uid="{745E96EC-AA41-4D17-8672-EA7180249A05}" name="peso" dataDxfId="25">
      <calculatedColumnFormula>IFERROR(VLOOKUP($C11,EQUIPOS[],UNIFICADO!N$9,0),"")</calculatedColumnFormula>
    </tableColumn>
    <tableColumn id="280" xr3:uid="{E8F78C04-36C6-4F84-B7A2-4BB090E3E3FD}" name="altura" dataDxfId="24">
      <calculatedColumnFormula>IFERROR(VLOOKUP($C11,EQUIPOS[],UNIFICADO!O$9,0),"")</calculatedColumnFormula>
    </tableColumn>
    <tableColumn id="281" xr3:uid="{53DB81BC-E5D3-4EDC-8376-CC24F1712F9D}" name="anchura" dataDxfId="23">
      <calculatedColumnFormula>IFERROR(VLOOKUP($C11,EQUIPOS[],UNIFICADO!P$9,0),"")</calculatedColumnFormula>
    </tableColumn>
    <tableColumn id="282" xr3:uid="{DF616921-874D-4DF0-B7F0-354C03A07F94}" name="grosor" dataDxfId="22">
      <calculatedColumnFormula>IFERROR(VLOOKUP($C11,EQUIPOS[],UNIFICADO!Q$9,0),"")</calculatedColumnFormula>
    </tableColumn>
    <tableColumn id="283" xr3:uid="{58FA6E1F-DEA0-421D-A258-3C918F8EE29B}" name="bateria" dataDxfId="21">
      <calculatedColumnFormula>IFERROR(VLOOKUP($C11,EQUIPOS[],UNIFICADO!R$9,0),"")</calculatedColumnFormula>
    </tableColumn>
    <tableColumn id="284" xr3:uid="{020AA76E-8546-4E8A-AB1D-5F00BDEAEC0A}" name="red" dataDxfId="20">
      <calculatedColumnFormula>IFERROR(VLOOKUP($C11,EQUIPOS[],UNIFICADO!S$9,0),"")</calculatedColumnFormula>
    </tableColumn>
    <tableColumn id="286" xr3:uid="{E7401C15-786D-4E07-BF5C-532670CFF140}" name="id" dataDxfId="0">
      <calculatedColumnFormula>VLOOKUP(UNIFICADA[[#This Row],[Equipo]],EQUIPOS[],$T$9,0)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mpy.pe/galeria?pagesize=24&amp;page=1&amp;sort=search&amp;search=ZTE%20BLADE%20V40%20SMART%20128GB%205G&amp;view=list" TargetMode="External"/><Relationship Id="rId13" Type="http://schemas.openxmlformats.org/officeDocument/2006/relationships/hyperlink" Target="https://compy.pe/galeria?pagesize=24&amp;page=1&amp;sort=search&amp;search=OPPO%20A57%20128GB&amp;view=list" TargetMode="External"/><Relationship Id="rId18" Type="http://schemas.openxmlformats.org/officeDocument/2006/relationships/hyperlink" Target="https://compy.pe/galeria?pagesize=24&amp;page=1&amp;sort=search&amp;search=SAMSUNG%20GALAXY%20A54%20256GB%205G&amp;view=list" TargetMode="External"/><Relationship Id="rId3" Type="http://schemas.openxmlformats.org/officeDocument/2006/relationships/hyperlink" Target="https://compy.pe/galeria?pagesize=24&amp;page=1&amp;sort=search&amp;search=SAMSUNG%20GALAXY%20A14%20128GB%205G&amp;view=list" TargetMode="External"/><Relationship Id="rId7" Type="http://schemas.openxmlformats.org/officeDocument/2006/relationships/hyperlink" Target="https://compy.pe/galeria?pagesize=24&amp;page=1&amp;sort=search&amp;search=MOTOROLA%20MOTO%20G53%20128GB%205G&amp;view=list" TargetMode="External"/><Relationship Id="rId12" Type="http://schemas.openxmlformats.org/officeDocument/2006/relationships/hyperlink" Target="https://compy.pe/galeria?pagesize=24&amp;page=1&amp;sort=search&amp;search=MOTOROLA%20MOTO%20G23%20128GB&amp;view=list" TargetMode="External"/><Relationship Id="rId17" Type="http://schemas.openxmlformats.org/officeDocument/2006/relationships/hyperlink" Target="https://compy.pe/galeria?pagesize=24&amp;page=1&amp;sort=search&amp;search=SAMSUNG%20GALAXY%20S21FE%20128GB&amp;view=list" TargetMode="External"/><Relationship Id="rId2" Type="http://schemas.openxmlformats.org/officeDocument/2006/relationships/hyperlink" Target="https://compy.pe/galeria?pagesize=24&amp;page=1&amp;sort=search&amp;search=OPPO%20RENO%207%20256GB&amp;view=list" TargetMode="External"/><Relationship Id="rId16" Type="http://schemas.openxmlformats.org/officeDocument/2006/relationships/hyperlink" Target="https://compy.pe/galeria?pagesize=24&amp;page=1&amp;sort=search&amp;search=SAMSUNG%20GALAXY%20A04%2064GB&amp;view=list" TargetMode="External"/><Relationship Id="rId1" Type="http://schemas.openxmlformats.org/officeDocument/2006/relationships/hyperlink" Target="https://compy.pe/galeria?pagesize=24&amp;page=1&amp;sort=search&amp;search=SAMSUNG%20GALAXY%20S20FE%20128GB%205G&amp;view=list" TargetMode="External"/><Relationship Id="rId6" Type="http://schemas.openxmlformats.org/officeDocument/2006/relationships/hyperlink" Target="https://compy.pe/galeria?pagesize=24&amp;page=1&amp;sort=search&amp;search=HONOR%20X7A%20128GB&amp;view=list" TargetMode="External"/><Relationship Id="rId11" Type="http://schemas.openxmlformats.org/officeDocument/2006/relationships/hyperlink" Target="https://compy.pe/galeria?pagesize=24&amp;page=1&amp;sort=search&amp;search=OPPO%20A17%2064GB&amp;view=list" TargetMode="External"/><Relationship Id="rId5" Type="http://schemas.openxmlformats.org/officeDocument/2006/relationships/hyperlink" Target="https://compy.pe/galeria?pagesize=24&amp;page=1&amp;sort=search&amp;search=SAMSUNG%20GALAXY%20A24%20128GB&amp;view=list" TargetMode="External"/><Relationship Id="rId15" Type="http://schemas.openxmlformats.org/officeDocument/2006/relationships/hyperlink" Target="https://compy.pe/galeria?pagesize=24&amp;page=1&amp;sort=search&amp;search=SAMSUNG%20GALAXY%20A04S%2064GB&amp;view=list" TargetMode="External"/><Relationship Id="rId10" Type="http://schemas.openxmlformats.org/officeDocument/2006/relationships/hyperlink" Target="https://compy.pe/galeria?pagesize=24&amp;page=1&amp;sort=search&amp;search=MOTOROLA%20MOTO%20E22i%2064GB&amp;view=list" TargetMode="External"/><Relationship Id="rId19" Type="http://schemas.openxmlformats.org/officeDocument/2006/relationships/table" Target="../tables/table1.xml"/><Relationship Id="rId4" Type="http://schemas.openxmlformats.org/officeDocument/2006/relationships/hyperlink" Target="https://compy.pe/galeria?pagesize=24&amp;page=1&amp;sort=search&amp;search=OPPO%20A78%20128GB&amp;view=list" TargetMode="External"/><Relationship Id="rId9" Type="http://schemas.openxmlformats.org/officeDocument/2006/relationships/hyperlink" Target="https://compy.pe/galeria?pagesize=24&amp;page=1&amp;sort=search&amp;search=MOTOROLA%20MOTO%20E13%2064GB&amp;view=list" TargetMode="External"/><Relationship Id="rId14" Type="http://schemas.openxmlformats.org/officeDocument/2006/relationships/hyperlink" Target="https://compy.pe/galeria?pagesize=24&amp;page=1&amp;sort=search&amp;search=ZTE%20BLADE%20A71%2064GB&amp;view=lis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E7106-D336-490F-9232-7E5839EA0467}">
  <dimension ref="A1:M19"/>
  <sheetViews>
    <sheetView workbookViewId="0">
      <selection activeCell="F27" sqref="F27"/>
    </sheetView>
  </sheetViews>
  <sheetFormatPr baseColWidth="10" defaultRowHeight="15" x14ac:dyDescent="0.25"/>
  <cols>
    <col min="2" max="2" width="31.85546875" bestFit="1" customWidth="1"/>
    <col min="3" max="3" width="12" bestFit="1" customWidth="1"/>
    <col min="4" max="4" width="11.85546875" bestFit="1" customWidth="1"/>
    <col min="5" max="5" width="13.7109375" bestFit="1" customWidth="1"/>
    <col min="6" max="6" width="17.140625" bestFit="1" customWidth="1"/>
  </cols>
  <sheetData>
    <row r="1" spans="1:13" x14ac:dyDescent="0.25">
      <c r="A1" t="s">
        <v>181</v>
      </c>
      <c r="B1" t="s">
        <v>136</v>
      </c>
      <c r="C1" s="15" t="s">
        <v>262</v>
      </c>
      <c r="D1" s="15" t="s">
        <v>263</v>
      </c>
      <c r="E1" s="15" t="s">
        <v>264</v>
      </c>
      <c r="F1" s="15" t="s">
        <v>265</v>
      </c>
      <c r="G1" s="15" t="s">
        <v>266</v>
      </c>
      <c r="H1" s="15" t="s">
        <v>267</v>
      </c>
      <c r="I1" s="15" t="s">
        <v>268</v>
      </c>
      <c r="J1" s="15" t="s">
        <v>269</v>
      </c>
      <c r="K1" s="15" t="s">
        <v>270</v>
      </c>
      <c r="L1" s="16" t="s">
        <v>207</v>
      </c>
      <c r="M1" s="15" t="s">
        <v>271</v>
      </c>
    </row>
    <row r="2" spans="1:13" x14ac:dyDescent="0.25">
      <c r="A2" t="s">
        <v>184</v>
      </c>
      <c r="B2" t="s">
        <v>201</v>
      </c>
      <c r="C2" s="17">
        <f>IF(Tabla1[[#This Row],[Precios Bajos]]+50&gt;MIN(Tabla1[[#This Row],[Precio Mercado]:[Columna3]]),Tabla1[[#This Row],[Precios Bajos]]+50,MIN(Tabla1[[#This Row],[Precio Mercado]:[Columna3]]))</f>
        <v>389</v>
      </c>
      <c r="D2" s="18">
        <v>409</v>
      </c>
      <c r="E2" s="18">
        <v>359</v>
      </c>
      <c r="F2" s="19">
        <v>329</v>
      </c>
      <c r="G2" s="18">
        <f>Tabla1[[#This Row],[Alta]]-Tabla1[[#This Row],[Precios Bajos]]</f>
        <v>80</v>
      </c>
      <c r="H2" s="18">
        <f>Tabla1[[#This Row],[Port|Ren]]-Tabla1[[#This Row],[Precios Bajos]]</f>
        <v>30</v>
      </c>
      <c r="I2" s="15">
        <v>399</v>
      </c>
      <c r="J2" s="15">
        <v>389</v>
      </c>
      <c r="K2" s="15">
        <v>399</v>
      </c>
      <c r="L2" s="16" t="str">
        <f>"https://compy.pe/galeria?pagesize=24&amp;page=1&amp;sort=search&amp;search="&amp;SUBSTITUTE(Tabla1[[#This Row],[Equipo]]," ","%20")&amp;"&amp;view=list"</f>
        <v>https://compy.pe/galeria?pagesize=24&amp;page=1&amp;sort=search&amp;search=MOTOROLA%20MOTO%20E13%2064GB&amp;view=list</v>
      </c>
      <c r="M2" s="20" t="s">
        <v>272</v>
      </c>
    </row>
    <row r="3" spans="1:13" x14ac:dyDescent="0.25">
      <c r="A3" t="s">
        <v>184</v>
      </c>
      <c r="B3" t="s">
        <v>171</v>
      </c>
      <c r="C3" s="17">
        <f>IF(Tabla1[[#This Row],[Precios Bajos]]+50&gt;MIN(Tabla1[[#This Row],[Precio Mercado]:[Columna3]]),Tabla1[[#This Row],[Precios Bajos]]+50,MIN(Tabla1[[#This Row],[Precio Mercado]:[Columna3]]))</f>
        <v>419</v>
      </c>
      <c r="D3" s="18">
        <v>449</v>
      </c>
      <c r="E3" s="18">
        <v>399</v>
      </c>
      <c r="F3" s="19">
        <v>369</v>
      </c>
      <c r="G3" s="18">
        <f>Tabla1[[#This Row],[Alta]]-Tabla1[[#This Row],[Precios Bajos]]</f>
        <v>80</v>
      </c>
      <c r="H3" s="18">
        <f>Tabla1[[#This Row],[Port|Ren]]-Tabla1[[#This Row],[Precios Bajos]]</f>
        <v>30</v>
      </c>
      <c r="I3" s="15">
        <v>399</v>
      </c>
      <c r="J3" s="15">
        <v>389</v>
      </c>
      <c r="K3" s="15">
        <v>399</v>
      </c>
      <c r="L3" s="16" t="str">
        <f>"https://compy.pe/galeria?pagesize=24&amp;page=1&amp;sort=search&amp;search="&amp;SUBSTITUTE(Tabla1[[#This Row],[Equipo]]," ","%20")&amp;"&amp;view=list"</f>
        <v>https://compy.pe/galeria?pagesize=24&amp;page=1&amp;sort=search&amp;search=MOTOROLA%20MOTO%20E22i%2064GB&amp;view=list</v>
      </c>
      <c r="M3" s="20" t="s">
        <v>273</v>
      </c>
    </row>
    <row r="4" spans="1:13" x14ac:dyDescent="0.25">
      <c r="A4" t="s">
        <v>182</v>
      </c>
      <c r="B4" t="s">
        <v>124</v>
      </c>
      <c r="C4" s="17">
        <f>IF(Tabla1[[#This Row],[Precios Bajos]]+50&gt;MIN(Tabla1[[#This Row],[Precio Mercado]:[Columna3]]),Tabla1[[#This Row],[Precios Bajos]]+50,MIN(Tabla1[[#This Row],[Precio Mercado]:[Columna3]]))</f>
        <v>449</v>
      </c>
      <c r="D4" s="18">
        <v>459</v>
      </c>
      <c r="E4" s="18">
        <v>409</v>
      </c>
      <c r="F4" s="19">
        <v>399</v>
      </c>
      <c r="G4" s="18">
        <f>Tabla1[[#This Row],[Alta]]-Tabla1[[#This Row],[Precios Bajos]]</f>
        <v>60</v>
      </c>
      <c r="H4" s="18">
        <f>Tabla1[[#This Row],[Port|Ren]]-Tabla1[[#This Row],[Precios Bajos]]</f>
        <v>10</v>
      </c>
      <c r="I4" s="15">
        <v>449</v>
      </c>
      <c r="J4" s="15">
        <v>439</v>
      </c>
      <c r="K4" s="15">
        <v>469</v>
      </c>
      <c r="L4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https://compy.pe/galeria?pagesize=24&amp;page=1&amp;sort=search&amp;search=SAMSUNG%20GALAXY%20A04%2064GB&amp;view=list</v>
      </c>
      <c r="M4" s="20" t="s">
        <v>274</v>
      </c>
    </row>
    <row r="5" spans="1:13" x14ac:dyDescent="0.25">
      <c r="A5" t="s">
        <v>183</v>
      </c>
      <c r="B5" t="s">
        <v>41</v>
      </c>
      <c r="C5" s="17">
        <f>IF(Tabla1[[#This Row],[Precios Bajos]]+50&gt;MIN(Tabla1[[#This Row],[Precio Mercado]:[Columna3]]),Tabla1[[#This Row],[Precios Bajos]]+50,MIN(Tabla1[[#This Row],[Precio Mercado]:[Columna3]]))</f>
        <v>449</v>
      </c>
      <c r="D5" s="18">
        <v>469</v>
      </c>
      <c r="E5" s="18">
        <v>419</v>
      </c>
      <c r="F5" s="19">
        <v>399</v>
      </c>
      <c r="G5" s="18">
        <f>Tabla1[[#This Row],[Alta]]-Tabla1[[#This Row],[Precios Bajos]]</f>
        <v>70</v>
      </c>
      <c r="H5" s="18">
        <f>Tabla1[[#This Row],[Port|Ren]]-Tabla1[[#This Row],[Precios Bajos]]</f>
        <v>20</v>
      </c>
      <c r="I5" s="15">
        <v>429</v>
      </c>
      <c r="J5" s="15"/>
      <c r="K5" s="15"/>
      <c r="L5" s="16" t="str">
        <f>"https://compy.pe/galeria?pagesize=24&amp;page=1&amp;sort=search&amp;search="&amp;SUBSTITUTE(Tabla1[[#This Row],[Equipo]]," ","%20")&amp;"&amp;view=list"</f>
        <v>https://compy.pe/galeria?pagesize=24&amp;page=1&amp;sort=search&amp;search=ZTE%20BLADE%20A71%2064GB&amp;view=list</v>
      </c>
      <c r="M5" s="20" t="s">
        <v>275</v>
      </c>
    </row>
    <row r="6" spans="1:13" x14ac:dyDescent="0.25">
      <c r="A6" t="s">
        <v>182</v>
      </c>
      <c r="B6" t="s">
        <v>191</v>
      </c>
      <c r="C6" s="17">
        <f>IF(Tabla1[[#This Row],[Precios Bajos]]+50&gt;MIN(Tabla1[[#This Row],[Precio Mercado]:[Columna3]]),Tabla1[[#This Row],[Precios Bajos]]+50,MIN(Tabla1[[#This Row],[Precio Mercado]:[Columna3]]))</f>
        <v>549</v>
      </c>
      <c r="D6" s="18">
        <v>569</v>
      </c>
      <c r="E6" s="18">
        <v>519</v>
      </c>
      <c r="F6" s="19">
        <v>499</v>
      </c>
      <c r="G6" s="18">
        <f>Tabla1[[#This Row],[Alta]]-Tabla1[[#This Row],[Precios Bajos]]</f>
        <v>70</v>
      </c>
      <c r="H6" s="18">
        <f>Tabla1[[#This Row],[Port|Ren]]-Tabla1[[#This Row],[Precios Bajos]]</f>
        <v>20</v>
      </c>
      <c r="I6" s="15">
        <v>599</v>
      </c>
      <c r="J6" s="15">
        <v>549</v>
      </c>
      <c r="K6" s="15">
        <v>649</v>
      </c>
      <c r="L6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https://compy.pe/galeria?pagesize=24&amp;page=1&amp;sort=search&amp;search=SAMSUNG%20GALAXY%20A04S%2064GB&amp;view=list</v>
      </c>
      <c r="M6" s="20" t="s">
        <v>276</v>
      </c>
    </row>
    <row r="7" spans="1:13" x14ac:dyDescent="0.25">
      <c r="A7" t="s">
        <v>185</v>
      </c>
      <c r="B7" t="s">
        <v>162</v>
      </c>
      <c r="C7" s="17">
        <f>IF(Tabla1[[#This Row],[Precios Bajos]]+50&gt;MIN(Tabla1[[#This Row],[Precio Mercado]:[Columna3]]),Tabla1[[#This Row],[Precios Bajos]]+50,MIN(Tabla1[[#This Row],[Precio Mercado]:[Columna3]]))</f>
        <v>609</v>
      </c>
      <c r="D7" s="18">
        <v>639</v>
      </c>
      <c r="E7" s="18">
        <v>589</v>
      </c>
      <c r="F7" s="19">
        <v>559</v>
      </c>
      <c r="G7" s="18">
        <f>Tabla1[[#This Row],[Alta]]-Tabla1[[#This Row],[Precios Bajos]]</f>
        <v>80</v>
      </c>
      <c r="H7" s="18">
        <f>Tabla1[[#This Row],[Port|Ren]]-Tabla1[[#This Row],[Precios Bajos]]</f>
        <v>30</v>
      </c>
      <c r="I7" s="15">
        <v>599</v>
      </c>
      <c r="J7" s="15">
        <v>569</v>
      </c>
      <c r="K7" s="15">
        <v>579</v>
      </c>
      <c r="L7" s="16" t="str">
        <f>"https://compy.pe/galeria?pagesize=24&amp;page=1&amp;sort=search&amp;search="&amp;SUBSTITUTE(Tabla1[[#This Row],[Equipo]]," ","%20")&amp;"&amp;view=list"</f>
        <v>https://compy.pe/galeria?pagesize=24&amp;page=1&amp;sort=search&amp;search=OPPO%20A17%2064GB&amp;view=list</v>
      </c>
      <c r="M7" s="20" t="s">
        <v>277</v>
      </c>
    </row>
    <row r="8" spans="1:13" x14ac:dyDescent="0.25">
      <c r="A8" t="s">
        <v>184</v>
      </c>
      <c r="B8" t="s">
        <v>196</v>
      </c>
      <c r="C8" s="17">
        <f>IF(Tabla1[[#This Row],[Precios Bajos]]+50&gt;MIN(Tabla1[[#This Row],[Precio Mercado]:[Columna3]]),Tabla1[[#This Row],[Precios Bajos]]+50,MIN(Tabla1[[#This Row],[Precio Mercado]:[Columna3]]))</f>
        <v>649</v>
      </c>
      <c r="D8" s="18">
        <v>679</v>
      </c>
      <c r="E8" s="18">
        <v>629</v>
      </c>
      <c r="F8" s="19">
        <v>599</v>
      </c>
      <c r="G8" s="18">
        <f>Tabla1[[#This Row],[Alta]]-Tabla1[[#This Row],[Precios Bajos]]</f>
        <v>80</v>
      </c>
      <c r="H8" s="18">
        <f>Tabla1[[#This Row],[Port|Ren]]-Tabla1[[#This Row],[Precios Bajos]]</f>
        <v>30</v>
      </c>
      <c r="I8" s="15">
        <v>649</v>
      </c>
      <c r="J8" s="15">
        <v>649</v>
      </c>
      <c r="K8" s="15">
        <v>649</v>
      </c>
      <c r="L8" s="16" t="str">
        <f>"https://compy.pe/galeria?pagesize=24&amp;page=1&amp;sort=search&amp;search="&amp;SUBSTITUTE(Tabla1[[#This Row],[Equipo]]," ","%20")&amp;"&amp;view=list"</f>
        <v>https://compy.pe/galeria?pagesize=24&amp;page=1&amp;sort=search&amp;search=MOTOROLA%20MOTO%20G23%20128GB&amp;view=list</v>
      </c>
      <c r="M8" s="20" t="s">
        <v>278</v>
      </c>
    </row>
    <row r="9" spans="1:13" x14ac:dyDescent="0.25">
      <c r="A9" t="s">
        <v>185</v>
      </c>
      <c r="B9" t="s">
        <v>121</v>
      </c>
      <c r="C9" s="17">
        <f>IF(Tabla1[[#This Row],[Precios Bajos]]+50&gt;MIN(Tabla1[[#This Row],[Precio Mercado]:[Columna3]]),Tabla1[[#This Row],[Precios Bajos]]+50,MIN(Tabla1[[#This Row],[Precio Mercado]:[Columna3]]))</f>
        <v>709</v>
      </c>
      <c r="D9" s="18">
        <v>739</v>
      </c>
      <c r="E9" s="18">
        <v>689</v>
      </c>
      <c r="F9" s="19">
        <v>659</v>
      </c>
      <c r="G9" s="18">
        <f>Tabla1[[#This Row],[Alta]]-Tabla1[[#This Row],[Precios Bajos]]</f>
        <v>80</v>
      </c>
      <c r="H9" s="18">
        <f>Tabla1[[#This Row],[Port|Ren]]-Tabla1[[#This Row],[Precios Bajos]]</f>
        <v>30</v>
      </c>
      <c r="I9" s="15">
        <v>749</v>
      </c>
      <c r="J9" s="15">
        <v>679</v>
      </c>
      <c r="K9" s="15">
        <v>729</v>
      </c>
      <c r="L9" s="16" t="str">
        <f>"https://compy.pe/galeria?pagesize=24&amp;page=1&amp;sort=search&amp;search="&amp;SUBSTITUTE(Tabla1[[#This Row],[Equipo]]," ","%20")&amp;"&amp;view=list"</f>
        <v>https://compy.pe/galeria?pagesize=24&amp;page=1&amp;sort=search&amp;search=OPPO%20A57%20128GB&amp;view=list</v>
      </c>
      <c r="M9" s="20" t="s">
        <v>279</v>
      </c>
    </row>
    <row r="10" spans="1:13" x14ac:dyDescent="0.25">
      <c r="A10" t="s">
        <v>182</v>
      </c>
      <c r="B10" t="s">
        <v>202</v>
      </c>
      <c r="C10" s="17">
        <f>IF(Tabla1[[#This Row],[Precios Bajos]]+50&gt;MIN(Tabla1[[#This Row],[Precio Mercado]:[Columna3]]),Tabla1[[#This Row],[Precios Bajos]]+50,MIN(Tabla1[[#This Row],[Precio Mercado]:[Columna3]]))</f>
        <v>719</v>
      </c>
      <c r="D10" s="18">
        <v>829</v>
      </c>
      <c r="E10" s="18">
        <v>729</v>
      </c>
      <c r="F10" s="19">
        <v>669</v>
      </c>
      <c r="G10" s="18">
        <f>Tabla1[[#This Row],[Alta]]-Tabla1[[#This Row],[Precios Bajos]]</f>
        <v>160</v>
      </c>
      <c r="H10" s="18">
        <f>Tabla1[[#This Row],[Port|Ren]]-Tabla1[[#This Row],[Precios Bajos]]</f>
        <v>60</v>
      </c>
      <c r="I10" s="15">
        <v>699</v>
      </c>
      <c r="J10" s="15">
        <v>649</v>
      </c>
      <c r="K10" s="15">
        <v>849</v>
      </c>
      <c r="L10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https://compy.pe/galeria?pagesize=24&amp;page=1&amp;sort=search&amp;search=SAMSUNG%20GALAXY%20A14%20128GB%205G&amp;view=list</v>
      </c>
      <c r="M10" s="20" t="s">
        <v>280</v>
      </c>
    </row>
    <row r="11" spans="1:13" x14ac:dyDescent="0.25">
      <c r="A11" t="s">
        <v>186</v>
      </c>
      <c r="B11" t="s">
        <v>167</v>
      </c>
      <c r="C11" s="17">
        <f>IF(Tabla1[[#This Row],[Precios Bajos]]+50&gt;MIN(Tabla1[[#This Row],[Precio Mercado]:[Columna3]]),Tabla1[[#This Row],[Precios Bajos]]+50,MIN(Tabla1[[#This Row],[Precio Mercado]:[Columna3]]))</f>
        <v>729</v>
      </c>
      <c r="D11" s="18">
        <v>819</v>
      </c>
      <c r="E11" s="18">
        <v>719</v>
      </c>
      <c r="F11" s="19">
        <v>679</v>
      </c>
      <c r="G11" s="18">
        <f>Tabla1[[#This Row],[Alta]]-Tabla1[[#This Row],[Precios Bajos]]</f>
        <v>140</v>
      </c>
      <c r="H11" s="18">
        <f>Tabla1[[#This Row],[Port|Ren]]-Tabla1[[#This Row],[Precios Bajos]]</f>
        <v>40</v>
      </c>
      <c r="I11" s="15">
        <v>749</v>
      </c>
      <c r="J11" s="15">
        <v>699</v>
      </c>
      <c r="K11" s="15">
        <v>759</v>
      </c>
      <c r="L11" s="16" t="str">
        <f>"https://compy.pe/galeria?pagesize=24&amp;page=1&amp;sort=search&amp;search="&amp;SUBSTITUTE(Tabla1[[#This Row],[Equipo]]," ","%20")&amp;"&amp;view=list"</f>
        <v>https://compy.pe/galeria?pagesize=24&amp;page=1&amp;sort=search&amp;search=HONOR%20X7A%20128GB&amp;view=list</v>
      </c>
      <c r="M11" s="20" t="s">
        <v>281</v>
      </c>
    </row>
    <row r="12" spans="1:13" x14ac:dyDescent="0.25">
      <c r="A12" t="s">
        <v>184</v>
      </c>
      <c r="B12" t="s">
        <v>230</v>
      </c>
      <c r="C12" s="17">
        <f>IF(Tabla1[[#This Row],[Precios Bajos]]+50&gt;MIN(Tabla1[[#This Row],[Precio Mercado]:[Columna3]]),Tabla1[[#This Row],[Precios Bajos]]+50,MIN(Tabla1[[#This Row],[Precio Mercado]:[Columna3]]))</f>
        <v>799</v>
      </c>
      <c r="D12" s="18">
        <v>879</v>
      </c>
      <c r="E12" s="18">
        <v>779</v>
      </c>
      <c r="F12" s="19">
        <v>749</v>
      </c>
      <c r="G12" s="18">
        <f>Tabla1[[#This Row],[Alta]]-Tabla1[[#This Row],[Precios Bajos]]</f>
        <v>130</v>
      </c>
      <c r="H12" s="18">
        <f>Tabla1[[#This Row],[Port|Ren]]-Tabla1[[#This Row],[Precios Bajos]]</f>
        <v>30</v>
      </c>
      <c r="I12" s="15"/>
      <c r="J12" s="15"/>
      <c r="K12" s="15"/>
      <c r="L12" s="16" t="str">
        <f>"https://compy.pe/galeria?pagesize=24&amp;page=1&amp;sort=search&amp;search="&amp;SUBSTITUTE(Tabla1[[#This Row],[Equipo]]," ","%20")&amp;"&amp;view=list"</f>
        <v>https://compy.pe/galeria?pagesize=24&amp;page=1&amp;sort=search&amp;search=MOTOROLA%20MOTO%20G53%20128GB%205G&amp;view=list</v>
      </c>
      <c r="M12" s="20" t="s">
        <v>282</v>
      </c>
    </row>
    <row r="13" spans="1:13" x14ac:dyDescent="0.25">
      <c r="A13" t="s">
        <v>183</v>
      </c>
      <c r="B13" t="s">
        <v>134</v>
      </c>
      <c r="C13" s="17">
        <f>IF(Tabla1[[#This Row],[Precios Bajos]]+50&gt;MIN(Tabla1[[#This Row],[Precio Mercado]:[Columna3]]),Tabla1[[#This Row],[Precios Bajos]]+50,MIN(Tabla1[[#This Row],[Precio Mercado]:[Columna3]]))</f>
        <v>799</v>
      </c>
      <c r="D13" s="18">
        <v>859</v>
      </c>
      <c r="E13" s="18">
        <v>759</v>
      </c>
      <c r="F13" s="19">
        <v>749</v>
      </c>
      <c r="G13" s="18">
        <f>Tabla1[[#This Row],[Alta]]-Tabla1[[#This Row],[Precios Bajos]]</f>
        <v>110</v>
      </c>
      <c r="H13" s="18">
        <f>Tabla1[[#This Row],[Port|Ren]]-Tabla1[[#This Row],[Precios Bajos]]</f>
        <v>10</v>
      </c>
      <c r="I13" s="15"/>
      <c r="J13" s="15"/>
      <c r="K13" s="15"/>
      <c r="L13" s="16" t="str">
        <f>"https://compy.pe/galeria?pagesize=24&amp;page=1&amp;sort=search&amp;search="&amp;SUBSTITUTE(Tabla1[[#This Row],[Equipo]]," ","%20")&amp;"&amp;view=list"</f>
        <v>https://compy.pe/galeria?pagesize=24&amp;page=1&amp;sort=search&amp;search=ZTE%20BLADE%20V40%20SMART%20128GB%205G&amp;view=list</v>
      </c>
      <c r="M13" s="20" t="s">
        <v>283</v>
      </c>
    </row>
    <row r="14" spans="1:13" x14ac:dyDescent="0.25">
      <c r="A14" t="s">
        <v>185</v>
      </c>
      <c r="B14" t="s">
        <v>190</v>
      </c>
      <c r="C14" s="17">
        <f>IF(Tabla1[[#This Row],[Precios Bajos]]+50&gt;MIN(Tabla1[[#This Row],[Precio Mercado]:[Columna3]]),Tabla1[[#This Row],[Precios Bajos]]+50,MIN(Tabla1[[#This Row],[Precio Mercado]:[Columna3]]))</f>
        <v>869</v>
      </c>
      <c r="D14" s="18">
        <v>979</v>
      </c>
      <c r="E14" s="18">
        <v>879</v>
      </c>
      <c r="F14" s="19">
        <v>819</v>
      </c>
      <c r="G14" s="18">
        <f>Tabla1[[#This Row],[Alta]]-Tabla1[[#This Row],[Precios Bajos]]</f>
        <v>160</v>
      </c>
      <c r="H14" s="18">
        <f>Tabla1[[#This Row],[Port|Ren]]-Tabla1[[#This Row],[Precios Bajos]]</f>
        <v>60</v>
      </c>
      <c r="I14" s="15"/>
      <c r="J14" s="15"/>
      <c r="K14" s="15"/>
      <c r="L14" s="16" t="str">
        <f>"https://compy.pe/galeria?pagesize=24&amp;page=1&amp;sort=search&amp;search="&amp;SUBSTITUTE(Tabla1[[#This Row],[Equipo]]," ","%20")&amp;"&amp;view=list"</f>
        <v>https://compy.pe/galeria?pagesize=24&amp;page=1&amp;sort=search&amp;search=OPPO%20A78%20128GB&amp;view=list</v>
      </c>
      <c r="M14" s="20" t="s">
        <v>284</v>
      </c>
    </row>
    <row r="15" spans="1:13" x14ac:dyDescent="0.25">
      <c r="A15" t="s">
        <v>182</v>
      </c>
      <c r="B15" t="s">
        <v>216</v>
      </c>
      <c r="C15" s="17">
        <f>IF(Tabla1[[#This Row],[Precios Bajos]]+50&gt;MIN(Tabla1[[#This Row],[Precio Mercado]:[Columna3]]),Tabla1[[#This Row],[Precios Bajos]]+50,MIN(Tabla1[[#This Row],[Precio Mercado]:[Columna3]]))</f>
        <v>939</v>
      </c>
      <c r="D15" s="18">
        <v>1049</v>
      </c>
      <c r="E15" s="18">
        <v>949</v>
      </c>
      <c r="F15" s="19">
        <v>889</v>
      </c>
      <c r="G15" s="18">
        <f>Tabla1[[#This Row],[Alta]]-Tabla1[[#This Row],[Precios Bajos]]</f>
        <v>160</v>
      </c>
      <c r="H15" s="18">
        <f>Tabla1[[#This Row],[Port|Ren]]-Tabla1[[#This Row],[Precios Bajos]]</f>
        <v>60</v>
      </c>
      <c r="I15" s="15"/>
      <c r="J15" s="15"/>
      <c r="K15" s="15"/>
      <c r="L15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https://compy.pe/galeria?pagesize=24&amp;page=1&amp;sort=search&amp;search=SAMSUNG%20GALAXY%20A24%20128GB&amp;view=list</v>
      </c>
      <c r="M15" s="20" t="s">
        <v>285</v>
      </c>
    </row>
    <row r="16" spans="1:13" x14ac:dyDescent="0.25">
      <c r="A16" t="s">
        <v>182</v>
      </c>
      <c r="B16" t="s">
        <v>82</v>
      </c>
      <c r="C16" s="17">
        <f>IF(Tabla1[[#This Row],[Precios Bajos]]+50&gt;MIN(Tabla1[[#This Row],[Precio Mercado]:[Columna3]]),Tabla1[[#This Row],[Precios Bajos]]+50,MIN(Tabla1[[#This Row],[Precio Mercado]:[Columna3]]))</f>
        <v>1499</v>
      </c>
      <c r="D16" s="18">
        <v>1749</v>
      </c>
      <c r="E16" s="18">
        <v>1509</v>
      </c>
      <c r="F16" s="19">
        <v>1439</v>
      </c>
      <c r="G16" s="18">
        <f>Tabla1[[#This Row],[Alta]]-Tabla1[[#This Row],[Precios Bajos]]</f>
        <v>310</v>
      </c>
      <c r="H16" s="18">
        <f>Tabla1[[#This Row],[Port|Ren]]-Tabla1[[#This Row],[Precios Bajos]]</f>
        <v>70</v>
      </c>
      <c r="I16" s="15">
        <v>1699</v>
      </c>
      <c r="J16" s="15">
        <v>1499</v>
      </c>
      <c r="K16" s="21">
        <v>1849</v>
      </c>
      <c r="L16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https://compy.pe/galeria?pagesize=24&amp;page=1&amp;sort=search&amp;search=SAMSUNG%20GALAXY%20S20FE%20128GB%205G&amp;view=list</v>
      </c>
      <c r="M16" s="20" t="s">
        <v>286</v>
      </c>
    </row>
    <row r="17" spans="1:13" x14ac:dyDescent="0.25">
      <c r="A17" t="s">
        <v>185</v>
      </c>
      <c r="B17" t="s">
        <v>180</v>
      </c>
      <c r="C17" s="17">
        <f>IF(Tabla1[[#This Row],[Precios Bajos]]+50&gt;MIN(Tabla1[[#This Row],[Precio Mercado]:[Columna3]]),Tabla1[[#This Row],[Precios Bajos]]+50,MIN(Tabla1[[#This Row],[Precio Mercado]:[Columna3]]))</f>
        <v>1679</v>
      </c>
      <c r="D17" s="18">
        <v>1859</v>
      </c>
      <c r="E17" s="18">
        <v>1619</v>
      </c>
      <c r="F17" s="19">
        <v>1549</v>
      </c>
      <c r="G17" s="18">
        <f>Tabla1[[#This Row],[Alta]]-Tabla1[[#This Row],[Precios Bajos]]</f>
        <v>310</v>
      </c>
      <c r="H17" s="18">
        <f>Tabla1[[#This Row],[Port|Ren]]-Tabla1[[#This Row],[Precios Bajos]]</f>
        <v>70</v>
      </c>
      <c r="I17" s="15">
        <v>1699</v>
      </c>
      <c r="J17" s="15">
        <v>1679</v>
      </c>
      <c r="K17" s="15">
        <v>1749</v>
      </c>
      <c r="L17" s="16" t="str">
        <f>"https://compy.pe/galeria?pagesize=24&amp;page=1&amp;sort=search&amp;search="&amp;SUBSTITUTE(Tabla1[[#This Row],[Equipo]]," ","%20")&amp;"&amp;view=list"</f>
        <v>https://compy.pe/galeria?pagesize=24&amp;page=1&amp;sort=search&amp;search=OPPO%20RENO%207%20256GB&amp;view=list</v>
      </c>
      <c r="M17" s="20" t="s">
        <v>287</v>
      </c>
    </row>
    <row r="18" spans="1:13" x14ac:dyDescent="0.25">
      <c r="A18" t="s">
        <v>182</v>
      </c>
      <c r="B18" t="s">
        <v>204</v>
      </c>
      <c r="C18" s="17">
        <f>IF(Tabla1[[#This Row],[Precios Bajos]]+50&gt;MIN(Tabla1[[#This Row],[Precio Mercado]:[Columna3]]),Tabla1[[#This Row],[Precios Bajos]]+50,MIN(Tabla1[[#This Row],[Precio Mercado]:[Columna3]]))</f>
        <v>1639</v>
      </c>
      <c r="D18" s="18">
        <v>1909</v>
      </c>
      <c r="E18" s="18">
        <v>1669</v>
      </c>
      <c r="F18" s="19">
        <v>1589</v>
      </c>
      <c r="G18" s="18">
        <f>Tabla1[[#This Row],[Alta]]-Tabla1[[#This Row],[Precios Bajos]]</f>
        <v>320</v>
      </c>
      <c r="H18" s="18">
        <f>Tabla1[[#This Row],[Port|Ren]]-Tabla1[[#This Row],[Precios Bajos]]</f>
        <v>80</v>
      </c>
      <c r="I18" s="15">
        <v>1749</v>
      </c>
      <c r="J18" s="15">
        <v>1549</v>
      </c>
      <c r="K18" s="15">
        <v>1799</v>
      </c>
      <c r="L18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https://compy.pe/galeria?pagesize=24&amp;page=1&amp;sort=search&amp;search=SAMSUNG%20GALAXY%20A54%20256GB%205G&amp;view=list</v>
      </c>
      <c r="M18" s="20" t="s">
        <v>288</v>
      </c>
    </row>
    <row r="19" spans="1:13" x14ac:dyDescent="0.25">
      <c r="A19" t="s">
        <v>182</v>
      </c>
      <c r="B19" t="s">
        <v>48</v>
      </c>
      <c r="C19" s="17">
        <f>IF(Tabla1[[#This Row],[Precios Bajos]]+50&gt;MIN(Tabla1[[#This Row],[Precio Mercado]:[Columna3]]),Tabla1[[#This Row],[Precios Bajos]]+50,MIN(Tabla1[[#This Row],[Precio Mercado]:[Columna3]]))</f>
        <v>2139</v>
      </c>
      <c r="D19" s="18">
        <v>2439</v>
      </c>
      <c r="E19" s="18">
        <v>2169</v>
      </c>
      <c r="F19" s="19">
        <v>2089</v>
      </c>
      <c r="G19" s="18">
        <f>Tabla1[[#This Row],[Alta]]-Tabla1[[#This Row],[Precios Bajos]]</f>
        <v>350</v>
      </c>
      <c r="H19" s="18">
        <f>Tabla1[[#This Row],[Port|Ren]]-Tabla1[[#This Row],[Precios Bajos]]</f>
        <v>80</v>
      </c>
      <c r="I19" s="15">
        <v>2199</v>
      </c>
      <c r="J19" s="15">
        <v>2099</v>
      </c>
      <c r="K19" s="15">
        <v>2399</v>
      </c>
      <c r="L19" s="16" t="str">
        <f>"https://compy.pe/galeria?pagesize=24&amp;page=1&amp;sort=search&amp;search="&amp;SUBSTITUTE(Tabla1[[#This Row],[Equipo]]," ","%20")&amp;"&amp;view=list"</f>
        <v>https://compy.pe/galeria?pagesize=24&amp;page=1&amp;sort=search&amp;search=SAMSUNG%20GALAXY%20S21FE%20128GB&amp;view=list</v>
      </c>
      <c r="M19" s="20" t="s">
        <v>289</v>
      </c>
    </row>
  </sheetData>
  <hyperlinks>
    <hyperlink ref="M16" r:id="rId1" xr:uid="{5F510653-5CB3-4F5B-A157-34A34F3225E7}"/>
    <hyperlink ref="M17" r:id="rId2" xr:uid="{3A8F11B9-F83F-4BC6-8926-0C1758C8BC9D}"/>
    <hyperlink ref="M10" r:id="rId3" xr:uid="{91DD6A1A-C04B-4E0E-82BF-327F61A51E4D}"/>
    <hyperlink ref="M14" r:id="rId4" xr:uid="{DBAF4E40-341A-4869-8731-D6B1DD9B4996}"/>
    <hyperlink ref="M15" r:id="rId5" xr:uid="{B5898B4B-61D8-4781-ABFA-E14F82A65B26}"/>
    <hyperlink ref="M11" r:id="rId6" xr:uid="{C7A1FF7B-70AF-419F-B71E-3518B1ABA6AE}"/>
    <hyperlink ref="M12" r:id="rId7" xr:uid="{67B1171A-9883-4180-8A5A-249FA049F904}"/>
    <hyperlink ref="M13" r:id="rId8" xr:uid="{9653C08C-B7B7-4052-A431-D2DA9296BE54}"/>
    <hyperlink ref="M2" r:id="rId9" xr:uid="{0785D104-C1E5-4695-A133-6598F9A61144}"/>
    <hyperlink ref="M3" r:id="rId10" xr:uid="{60850268-568E-44E2-98CB-4415AA9DB8C3}"/>
    <hyperlink ref="M7" r:id="rId11" xr:uid="{62170A90-047B-4784-B5F5-B21754029A82}"/>
    <hyperlink ref="M8" r:id="rId12" xr:uid="{2DE92DD0-721E-4C45-8B94-DC0D4240C855}"/>
    <hyperlink ref="M9" r:id="rId13" xr:uid="{FC2ACDB9-2819-4DF0-BC52-275CC5FC4677}"/>
    <hyperlink ref="M5" r:id="rId14" xr:uid="{E68603A3-F0F0-44CD-BF16-E6CA050157DC}"/>
    <hyperlink ref="M6" r:id="rId15" xr:uid="{9A589C78-A25A-4112-9B57-09C7336DDA89}"/>
    <hyperlink ref="M4" r:id="rId16" xr:uid="{EA1F0ED8-A212-4354-B651-E68AF869E0B5}"/>
    <hyperlink ref="M19" r:id="rId17" xr:uid="{8B206F1B-D124-4A3B-968E-C07CCEA0CF0E}"/>
    <hyperlink ref="M18" r:id="rId18" xr:uid="{313F3AB5-1991-4706-87DF-DF928DCCF412}"/>
  </hyperlinks>
  <pageMargins left="0.7" right="0.7" top="0.75" bottom="0.75" header="0.3" footer="0.3"/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6"/>
  <sheetViews>
    <sheetView topLeftCell="C1" zoomScale="70" zoomScaleNormal="70" workbookViewId="0">
      <selection activeCell="L42" sqref="L42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6" bestFit="1" customWidth="1"/>
    <col min="6" max="6" width="9.85546875" style="6" bestFit="1" customWidth="1"/>
    <col min="7" max="7" width="24.85546875" style="6" bestFit="1" customWidth="1"/>
    <col min="8" max="8" width="25.5703125" style="6" bestFit="1" customWidth="1"/>
    <col min="9" max="9" width="12.7109375" style="6" bestFit="1" customWidth="1"/>
    <col min="10" max="10" width="20.85546875" style="6" bestFit="1" customWidth="1"/>
    <col min="11" max="11" width="21.28515625" style="6" bestFit="1" customWidth="1"/>
    <col min="12" max="12" width="13" style="6" bestFit="1" customWidth="1"/>
    <col min="13" max="13" width="20.85546875" style="12" bestFit="1" customWidth="1"/>
    <col min="14" max="14" width="49.28515625" style="6" customWidth="1"/>
    <col min="15" max="15" width="18.7109375" style="6" bestFit="1" customWidth="1"/>
    <col min="16" max="16" width="12.28515625" style="6" bestFit="1" customWidth="1"/>
    <col min="17" max="17" width="13" style="6" bestFit="1" customWidth="1"/>
    <col min="18" max="19" width="12.28515625" style="6" bestFit="1" customWidth="1"/>
    <col min="20" max="20" width="17.28515625" style="6" bestFit="1" customWidth="1"/>
    <col min="21" max="21" width="12.28515625" style="6" bestFit="1" customWidth="1"/>
    <col min="22" max="22" width="12.7109375" style="6" bestFit="1" customWidth="1"/>
  </cols>
  <sheetData>
    <row r="1" spans="1:22" x14ac:dyDescent="0.25">
      <c r="A1" t="s">
        <v>137</v>
      </c>
      <c r="B1" t="s">
        <v>158</v>
      </c>
      <c r="D1" s="2" t="s">
        <v>138</v>
      </c>
      <c r="E1" s="4" t="s">
        <v>163</v>
      </c>
      <c r="F1" s="4" t="s">
        <v>139</v>
      </c>
      <c r="G1" s="4" t="s">
        <v>140</v>
      </c>
      <c r="H1" s="4" t="s">
        <v>141</v>
      </c>
      <c r="I1" s="4" t="s">
        <v>142</v>
      </c>
      <c r="J1" s="4" t="s">
        <v>143</v>
      </c>
      <c r="K1" s="5" t="s">
        <v>144</v>
      </c>
      <c r="L1" s="4" t="s">
        <v>145</v>
      </c>
      <c r="M1" s="30" t="s">
        <v>146</v>
      </c>
      <c r="N1" s="4" t="s">
        <v>147</v>
      </c>
      <c r="O1" s="4" t="s">
        <v>148</v>
      </c>
      <c r="P1" s="4" t="s">
        <v>149</v>
      </c>
      <c r="Q1" s="4" t="s">
        <v>150</v>
      </c>
      <c r="R1" s="4" t="s">
        <v>151</v>
      </c>
      <c r="S1" s="4" t="s">
        <v>152</v>
      </c>
      <c r="T1" s="4" t="s">
        <v>153</v>
      </c>
      <c r="U1" s="4" t="s">
        <v>207</v>
      </c>
      <c r="V1"/>
    </row>
    <row r="2" spans="1:22" ht="16.5" customHeight="1" x14ac:dyDescent="0.25">
      <c r="A2" t="s">
        <v>201</v>
      </c>
      <c r="B2" t="str">
        <f>VLOOKUP(VERIFICAREQUIPOS[[#This Row],[SEGÚN LISTA]],EQUIPOS[EQUIPOS],1,0)</f>
        <v>MOTOROLA MOTO E13 64GB</v>
      </c>
      <c r="D2" s="3" t="s">
        <v>127</v>
      </c>
      <c r="E2" s="7"/>
      <c r="F2" s="7">
        <v>12</v>
      </c>
      <c r="G2" s="7" t="s">
        <v>154</v>
      </c>
      <c r="H2" s="7">
        <v>64</v>
      </c>
      <c r="I2" s="7">
        <v>2</v>
      </c>
      <c r="J2" s="7">
        <v>32</v>
      </c>
      <c r="K2" s="8">
        <v>128</v>
      </c>
      <c r="L2" s="7" t="s">
        <v>192</v>
      </c>
      <c r="M2" s="32" t="s">
        <v>155</v>
      </c>
      <c r="N2" s="7">
        <v>8</v>
      </c>
      <c r="O2" s="7">
        <v>155</v>
      </c>
      <c r="P2" s="7">
        <v>15.3</v>
      </c>
      <c r="Q2" s="7">
        <v>7.12</v>
      </c>
      <c r="R2" s="7">
        <v>0.78</v>
      </c>
      <c r="S2" s="7">
        <v>4020</v>
      </c>
      <c r="T2" s="7">
        <v>5</v>
      </c>
      <c r="U2" s="6">
        <v>38</v>
      </c>
      <c r="V2"/>
    </row>
    <row r="3" spans="1:22" ht="16.5" customHeight="1" x14ac:dyDescent="0.25">
      <c r="A3" t="s">
        <v>171</v>
      </c>
      <c r="B3" t="str">
        <f>VLOOKUP(VERIFICAREQUIPOS[[#This Row],[SEGÚN LISTA]],EQUIPOS[EQUIPOS],1,0)</f>
        <v>MOTOROLA MOTO E22i 64GB</v>
      </c>
      <c r="D3" s="3" t="s">
        <v>131</v>
      </c>
      <c r="E3" s="7"/>
      <c r="F3" s="7">
        <v>12</v>
      </c>
      <c r="G3" s="7">
        <v>6.67</v>
      </c>
      <c r="H3" s="7">
        <v>108</v>
      </c>
      <c r="I3" s="7">
        <v>3</v>
      </c>
      <c r="J3" s="7">
        <v>20</v>
      </c>
      <c r="K3" s="10">
        <v>256</v>
      </c>
      <c r="L3" s="7" t="s">
        <v>192</v>
      </c>
      <c r="M3" s="31">
        <v>8</v>
      </c>
      <c r="N3" s="7">
        <v>8</v>
      </c>
      <c r="O3" s="7">
        <v>202</v>
      </c>
      <c r="P3" s="7">
        <v>16.100000000000001</v>
      </c>
      <c r="Q3" s="7">
        <v>7.59</v>
      </c>
      <c r="R3" s="7">
        <v>0.86</v>
      </c>
      <c r="S3" s="7">
        <v>5000</v>
      </c>
      <c r="T3" s="7">
        <v>5</v>
      </c>
      <c r="U3" s="6">
        <v>99</v>
      </c>
      <c r="V3"/>
    </row>
    <row r="4" spans="1:22" ht="16.5" customHeight="1" x14ac:dyDescent="0.25">
      <c r="A4" t="s">
        <v>124</v>
      </c>
      <c r="B4" s="14" t="str">
        <f>VLOOKUP(VERIFICAREQUIPOS[[#This Row],[SEGÚN LISTA]],EQUIPOS[EQUIPOS],1,0)</f>
        <v>SAMSUNG GALAXY A04 64GB</v>
      </c>
      <c r="D4" s="3" t="s">
        <v>132</v>
      </c>
      <c r="E4" s="7"/>
      <c r="F4" s="7">
        <v>12</v>
      </c>
      <c r="G4" s="7">
        <v>6.67</v>
      </c>
      <c r="H4" s="7">
        <v>200</v>
      </c>
      <c r="I4" s="7">
        <v>3</v>
      </c>
      <c r="J4" s="7">
        <v>20</v>
      </c>
      <c r="K4" s="10">
        <v>256</v>
      </c>
      <c r="L4" s="7" t="s">
        <v>192</v>
      </c>
      <c r="M4" s="31">
        <v>8</v>
      </c>
      <c r="N4" s="7">
        <v>8</v>
      </c>
      <c r="O4" s="7">
        <v>205</v>
      </c>
      <c r="P4" s="7">
        <v>16.100000000000001</v>
      </c>
      <c r="Q4" s="7">
        <v>7.59</v>
      </c>
      <c r="R4" s="7">
        <v>0.86</v>
      </c>
      <c r="S4" s="7">
        <v>5000</v>
      </c>
      <c r="T4" s="7">
        <v>5</v>
      </c>
      <c r="U4" s="6">
        <v>100</v>
      </c>
      <c r="V4"/>
    </row>
    <row r="5" spans="1:22" ht="16.5" customHeight="1" x14ac:dyDescent="0.25">
      <c r="A5" t="s">
        <v>41</v>
      </c>
      <c r="B5" s="14" t="str">
        <f>VLOOKUP(VERIFICAREQUIPOS[[#This Row],[SEGÚN LISTA]],EQUIPOS[EQUIPOS],1,0)</f>
        <v>ZTE BLADE A71 64GB</v>
      </c>
      <c r="D5" s="3" t="s">
        <v>67</v>
      </c>
      <c r="E5" s="7"/>
      <c r="F5" s="7">
        <v>11</v>
      </c>
      <c r="G5" s="7">
        <v>6.4</v>
      </c>
      <c r="H5" s="7">
        <v>50</v>
      </c>
      <c r="I5" s="7">
        <v>3</v>
      </c>
      <c r="J5" s="7">
        <v>16</v>
      </c>
      <c r="K5" s="10">
        <v>128</v>
      </c>
      <c r="L5" s="7" t="s">
        <v>192</v>
      </c>
      <c r="M5" s="31">
        <v>8</v>
      </c>
      <c r="N5" s="7">
        <v>6</v>
      </c>
      <c r="O5" s="7">
        <v>179</v>
      </c>
      <c r="P5" s="7">
        <v>16</v>
      </c>
      <c r="Q5" s="7">
        <v>7.39</v>
      </c>
      <c r="R5" s="7">
        <v>0.85</v>
      </c>
      <c r="S5" s="7">
        <v>5000</v>
      </c>
      <c r="T5" s="7">
        <v>5</v>
      </c>
      <c r="U5" s="6">
        <v>45</v>
      </c>
      <c r="V5"/>
    </row>
    <row r="6" spans="1:22" ht="16.5" customHeight="1" x14ac:dyDescent="0.25">
      <c r="A6" t="s">
        <v>191</v>
      </c>
      <c r="B6" s="14" t="str">
        <f>VLOOKUP(VERIFICAREQUIPOS[[#This Row],[SEGÚN LISTA]],EQUIPOS[EQUIPOS],1,0)</f>
        <v>SAMSUNG GALAXY A04S 64GB</v>
      </c>
      <c r="D6" s="3" t="s">
        <v>14</v>
      </c>
      <c r="E6" s="7"/>
      <c r="F6" s="7">
        <v>11</v>
      </c>
      <c r="G6" s="7">
        <v>6.57</v>
      </c>
      <c r="H6" s="7">
        <v>108</v>
      </c>
      <c r="I6" s="7">
        <v>4</v>
      </c>
      <c r="J6" s="7">
        <v>32</v>
      </c>
      <c r="K6" s="10">
        <v>128</v>
      </c>
      <c r="L6" s="7" t="s">
        <v>192</v>
      </c>
      <c r="M6" s="31">
        <v>8</v>
      </c>
      <c r="N6" s="7">
        <v>6</v>
      </c>
      <c r="O6" s="7">
        <v>175</v>
      </c>
      <c r="P6" s="7">
        <v>16</v>
      </c>
      <c r="Q6" s="7">
        <v>7.38</v>
      </c>
      <c r="R6" s="7">
        <v>0.78</v>
      </c>
      <c r="S6" s="7">
        <v>4300</v>
      </c>
      <c r="T6" s="7">
        <v>5</v>
      </c>
      <c r="U6" s="6">
        <v>9</v>
      </c>
      <c r="V6"/>
    </row>
    <row r="7" spans="1:22" ht="16.5" customHeight="1" x14ac:dyDescent="0.25">
      <c r="A7" t="s">
        <v>162</v>
      </c>
      <c r="B7" s="14" t="str">
        <f>VLOOKUP(VERIFICAREQUIPOS[[#This Row],[SEGÚN LISTA]],EQUIPOS[EQUIPOS],1,0)</f>
        <v>OPPO A17 64GB</v>
      </c>
      <c r="D7" s="3" t="s">
        <v>15</v>
      </c>
      <c r="E7" s="7"/>
      <c r="F7" s="7">
        <v>11</v>
      </c>
      <c r="G7" s="7">
        <v>6.57</v>
      </c>
      <c r="H7" s="7">
        <v>108</v>
      </c>
      <c r="I7" s="7">
        <v>4</v>
      </c>
      <c r="J7" s="7">
        <v>32</v>
      </c>
      <c r="K7" s="10">
        <v>256</v>
      </c>
      <c r="L7" s="7" t="s">
        <v>192</v>
      </c>
      <c r="M7" s="31">
        <v>8</v>
      </c>
      <c r="N7" s="7">
        <v>8</v>
      </c>
      <c r="O7" s="7">
        <v>175</v>
      </c>
      <c r="P7" s="7">
        <v>16</v>
      </c>
      <c r="Q7" s="7">
        <v>7.38</v>
      </c>
      <c r="R7" s="7">
        <v>0.78</v>
      </c>
      <c r="S7" s="7">
        <v>4300</v>
      </c>
      <c r="T7" s="7">
        <v>5</v>
      </c>
      <c r="U7" s="6">
        <v>10</v>
      </c>
      <c r="V7"/>
    </row>
    <row r="8" spans="1:22" ht="16.5" customHeight="1" x14ac:dyDescent="0.25">
      <c r="A8" t="s">
        <v>196</v>
      </c>
      <c r="B8" s="14" t="str">
        <f>VLOOKUP(VERIFICAREQUIPOS[[#This Row],[SEGÚN LISTA]],EQUIPOS[EQUIPOS],1,0)</f>
        <v>MOTOROLA MOTO G23 128GB</v>
      </c>
      <c r="D8" s="3" t="s">
        <v>16</v>
      </c>
      <c r="E8" s="7"/>
      <c r="F8" s="7">
        <v>11</v>
      </c>
      <c r="G8" s="7">
        <v>6.57</v>
      </c>
      <c r="H8" s="7">
        <v>50</v>
      </c>
      <c r="I8" s="7">
        <v>4</v>
      </c>
      <c r="J8" s="7">
        <v>32</v>
      </c>
      <c r="K8" s="8">
        <v>128</v>
      </c>
      <c r="L8" s="7" t="s">
        <v>192</v>
      </c>
      <c r="M8" s="31">
        <v>8</v>
      </c>
      <c r="N8" s="7">
        <v>8</v>
      </c>
      <c r="O8" s="7">
        <v>175</v>
      </c>
      <c r="P8" s="7">
        <v>16</v>
      </c>
      <c r="Q8" s="7">
        <v>7.37</v>
      </c>
      <c r="R8" s="7">
        <v>0.78</v>
      </c>
      <c r="S8" s="7">
        <v>4300</v>
      </c>
      <c r="T8" s="7">
        <v>4.5</v>
      </c>
      <c r="U8" s="6">
        <v>22</v>
      </c>
      <c r="V8"/>
    </row>
    <row r="9" spans="1:22" ht="16.5" customHeight="1" x14ac:dyDescent="0.25">
      <c r="A9" t="s">
        <v>121</v>
      </c>
      <c r="B9" s="14" t="str">
        <f>VLOOKUP(VERIFICAREQUIPOS[[#This Row],[SEGÚN LISTA]],EQUIPOS[EQUIPOS],1,0)</f>
        <v>OPPO A57 128GB</v>
      </c>
      <c r="D9" s="3" t="s">
        <v>98</v>
      </c>
      <c r="E9" s="7"/>
      <c r="F9" s="7">
        <v>11</v>
      </c>
      <c r="G9" s="7">
        <v>6.74</v>
      </c>
      <c r="H9" s="7">
        <v>48</v>
      </c>
      <c r="I9" s="7">
        <v>4</v>
      </c>
      <c r="J9" s="7">
        <v>8</v>
      </c>
      <c r="K9" s="10">
        <v>128</v>
      </c>
      <c r="L9" s="7" t="s">
        <v>192</v>
      </c>
      <c r="M9" s="31">
        <v>8</v>
      </c>
      <c r="N9" s="7">
        <v>6</v>
      </c>
      <c r="O9" s="7">
        <v>198</v>
      </c>
      <c r="P9" s="7">
        <v>16.760000000000002</v>
      </c>
      <c r="Q9" s="7">
        <v>7.72</v>
      </c>
      <c r="R9" s="7">
        <v>0.86</v>
      </c>
      <c r="S9" s="7">
        <v>5000</v>
      </c>
      <c r="T9" s="7">
        <v>4</v>
      </c>
      <c r="U9" s="6">
        <v>17</v>
      </c>
      <c r="V9"/>
    </row>
    <row r="10" spans="1:22" ht="16.5" customHeight="1" x14ac:dyDescent="0.25">
      <c r="A10" t="s">
        <v>202</v>
      </c>
      <c r="B10" s="14" t="str">
        <f>VLOOKUP(VERIFICAREQUIPOS[[#This Row],[SEGÚN LISTA]],EQUIPOS[EQUIPOS],1,0)</f>
        <v>SAMSUNG GALAXY A14 128GB 5G</v>
      </c>
      <c r="D10" s="3" t="s">
        <v>75</v>
      </c>
      <c r="E10" s="7"/>
      <c r="F10" s="7">
        <v>11</v>
      </c>
      <c r="G10" s="7">
        <v>6.7</v>
      </c>
      <c r="H10" s="7">
        <v>64</v>
      </c>
      <c r="I10" s="7">
        <v>4</v>
      </c>
      <c r="J10" s="7">
        <v>16</v>
      </c>
      <c r="K10" s="10">
        <v>128</v>
      </c>
      <c r="L10" s="7" t="s">
        <v>192</v>
      </c>
      <c r="M10" s="31">
        <v>8</v>
      </c>
      <c r="N10" s="7">
        <v>6</v>
      </c>
      <c r="O10" s="7">
        <v>177</v>
      </c>
      <c r="P10" s="7">
        <v>16.3</v>
      </c>
      <c r="Q10" s="7">
        <v>7.4</v>
      </c>
      <c r="R10" s="7">
        <v>0.75</v>
      </c>
      <c r="S10" s="7">
        <v>4000</v>
      </c>
      <c r="T10" s="7">
        <v>4</v>
      </c>
      <c r="U10" s="6">
        <v>19</v>
      </c>
      <c r="V10"/>
    </row>
    <row r="11" spans="1:22" ht="16.5" customHeight="1" x14ac:dyDescent="0.25">
      <c r="A11" t="s">
        <v>167</v>
      </c>
      <c r="B11" s="14" t="str">
        <f>VLOOKUP(VERIFICAREQUIPOS[[#This Row],[SEGÚN LISTA]],EQUIPOS[EQUIPOS],1,0)</f>
        <v>HONOR X7A 128GB</v>
      </c>
      <c r="D11" s="3" t="s">
        <v>179</v>
      </c>
      <c r="E11" s="7"/>
      <c r="F11" s="7">
        <v>12</v>
      </c>
      <c r="G11" s="7" t="s">
        <v>238</v>
      </c>
      <c r="H11" s="7" t="s">
        <v>188</v>
      </c>
      <c r="I11" s="7">
        <v>3</v>
      </c>
      <c r="J11" s="7" t="s">
        <v>187</v>
      </c>
      <c r="K11" s="7">
        <v>128</v>
      </c>
      <c r="L11" s="7" t="s">
        <v>192</v>
      </c>
      <c r="M11" s="31" t="s">
        <v>248</v>
      </c>
      <c r="N11" s="7">
        <v>6</v>
      </c>
      <c r="O11" s="7">
        <v>179</v>
      </c>
      <c r="P11" s="7">
        <v>16.3</v>
      </c>
      <c r="Q11" s="7">
        <v>7.45</v>
      </c>
      <c r="R11" s="7">
        <v>0.75</v>
      </c>
      <c r="S11" s="7" t="s">
        <v>254</v>
      </c>
      <c r="T11" s="7">
        <v>4</v>
      </c>
      <c r="U11" s="6">
        <v>20</v>
      </c>
      <c r="V11"/>
    </row>
    <row r="12" spans="1:22" ht="16.5" customHeight="1" x14ac:dyDescent="0.25">
      <c r="A12" t="s">
        <v>230</v>
      </c>
      <c r="B12" s="14" t="str">
        <f>VLOOKUP(VERIFICAREQUIPOS[[#This Row],[SEGÚN LISTA]],EQUIPOS[EQUIPOS],1,0)</f>
        <v>MOTOROLA MOTO G53 128GB 5G</v>
      </c>
      <c r="D12" s="3" t="s">
        <v>95</v>
      </c>
      <c r="E12" s="7"/>
      <c r="F12" s="7">
        <v>11</v>
      </c>
      <c r="G12" s="7">
        <v>6.81</v>
      </c>
      <c r="H12" s="7">
        <v>64</v>
      </c>
      <c r="I12" s="7">
        <v>4</v>
      </c>
      <c r="J12" s="7">
        <v>16</v>
      </c>
      <c r="K12" s="10">
        <v>128</v>
      </c>
      <c r="L12" s="7" t="s">
        <v>192</v>
      </c>
      <c r="M12" s="31">
        <v>8</v>
      </c>
      <c r="N12" s="7">
        <v>8</v>
      </c>
      <c r="O12" s="7">
        <v>189</v>
      </c>
      <c r="P12" s="7">
        <v>16.600000000000001</v>
      </c>
      <c r="Q12" s="7">
        <v>7.58</v>
      </c>
      <c r="R12" s="7">
        <v>0.81</v>
      </c>
      <c r="S12" s="7">
        <v>4800</v>
      </c>
      <c r="T12" s="7">
        <v>4</v>
      </c>
      <c r="U12" s="6">
        <v>21</v>
      </c>
      <c r="V12"/>
    </row>
    <row r="13" spans="1:22" ht="16.5" customHeight="1" x14ac:dyDescent="0.25">
      <c r="A13" t="s">
        <v>134</v>
      </c>
      <c r="B13" s="14" t="str">
        <f>VLOOKUP(VERIFICAREQUIPOS[[#This Row],[SEGÚN LISTA]],EQUIPOS[EQUIPOS],1,0)</f>
        <v>ZTE BLADE V40 SMART 128GB 5G</v>
      </c>
      <c r="D13" s="3" t="s">
        <v>125</v>
      </c>
      <c r="E13" s="7"/>
      <c r="F13" s="7">
        <v>11</v>
      </c>
      <c r="G13" s="7">
        <v>6.7</v>
      </c>
      <c r="H13" s="7">
        <v>50</v>
      </c>
      <c r="I13" s="7">
        <v>3</v>
      </c>
      <c r="J13" s="7">
        <v>8</v>
      </c>
      <c r="K13" s="10">
        <v>128</v>
      </c>
      <c r="L13" s="7" t="s">
        <v>192</v>
      </c>
      <c r="M13" s="31">
        <v>8</v>
      </c>
      <c r="N13" s="7">
        <v>6</v>
      </c>
      <c r="O13" s="7">
        <v>195</v>
      </c>
      <c r="P13" s="7">
        <v>16.3</v>
      </c>
      <c r="Q13" s="7">
        <v>7.47</v>
      </c>
      <c r="R13" s="7">
        <v>0.84</v>
      </c>
      <c r="S13" s="7">
        <v>5000</v>
      </c>
      <c r="T13" s="7">
        <v>4.5</v>
      </c>
      <c r="U13" s="6">
        <v>25</v>
      </c>
      <c r="V13"/>
    </row>
    <row r="14" spans="1:22" ht="16.5" customHeight="1" x14ac:dyDescent="0.25">
      <c r="A14" t="s">
        <v>190</v>
      </c>
      <c r="B14" s="14" t="str">
        <f>VLOOKUP(VERIFICAREQUIPOS[[#This Row],[SEGÚN LISTA]],EQUIPOS[EQUIPOS],1,0)</f>
        <v>OPPO A78 128GB</v>
      </c>
      <c r="D14" s="3" t="s">
        <v>118</v>
      </c>
      <c r="E14" s="7"/>
      <c r="F14" s="7">
        <v>12</v>
      </c>
      <c r="G14" s="7">
        <v>6.67</v>
      </c>
      <c r="H14" s="7">
        <v>54</v>
      </c>
      <c r="I14" s="7">
        <v>4</v>
      </c>
      <c r="J14" s="7">
        <v>32</v>
      </c>
      <c r="K14" s="10">
        <v>128</v>
      </c>
      <c r="L14" s="7" t="s">
        <v>192</v>
      </c>
      <c r="M14" s="31">
        <v>8</v>
      </c>
      <c r="N14" s="7">
        <v>8</v>
      </c>
      <c r="O14" s="7">
        <v>178</v>
      </c>
      <c r="P14" s="7">
        <v>16.100000000000001</v>
      </c>
      <c r="Q14" s="7">
        <v>7.33</v>
      </c>
      <c r="R14" s="7">
        <v>0.79</v>
      </c>
      <c r="S14" s="7">
        <v>4800</v>
      </c>
      <c r="T14" s="7">
        <v>5</v>
      </c>
      <c r="U14" s="6">
        <v>11</v>
      </c>
      <c r="V14"/>
    </row>
    <row r="15" spans="1:22" ht="16.5" customHeight="1" x14ac:dyDescent="0.25">
      <c r="A15" t="s">
        <v>216</v>
      </c>
      <c r="B15" s="14" t="str">
        <f>VLOOKUP(VERIFICAREQUIPOS[[#This Row],[SEGÚN LISTA]],EQUIPOS[EQUIPOS],1,0)</f>
        <v>SAMSUNG GALAXY A24 128GB</v>
      </c>
      <c r="D15" s="3" t="s">
        <v>119</v>
      </c>
      <c r="E15" s="7"/>
      <c r="F15" s="7">
        <v>12</v>
      </c>
      <c r="G15" s="7">
        <v>6.67</v>
      </c>
      <c r="H15" s="7">
        <v>54</v>
      </c>
      <c r="I15" s="7">
        <v>4</v>
      </c>
      <c r="J15" s="7">
        <v>32</v>
      </c>
      <c r="K15" s="10">
        <v>256</v>
      </c>
      <c r="L15" s="7" t="s">
        <v>192</v>
      </c>
      <c r="M15" s="31">
        <v>8</v>
      </c>
      <c r="N15" s="7">
        <v>8</v>
      </c>
      <c r="O15" s="7">
        <v>178</v>
      </c>
      <c r="P15" s="7">
        <v>16.100000000000001</v>
      </c>
      <c r="Q15" s="7">
        <v>7.33</v>
      </c>
      <c r="R15" s="7">
        <v>0.79</v>
      </c>
      <c r="S15" s="7">
        <v>4800</v>
      </c>
      <c r="T15" s="7">
        <v>5</v>
      </c>
      <c r="U15" s="6">
        <v>12</v>
      </c>
      <c r="V15"/>
    </row>
    <row r="16" spans="1:22" ht="16.5" customHeight="1" x14ac:dyDescent="0.25">
      <c r="A16" t="s">
        <v>82</v>
      </c>
      <c r="B16" s="14" t="str">
        <f>VLOOKUP(VERIFICAREQUIPOS[[#This Row],[SEGÚN LISTA]],EQUIPOS[EQUIPOS],1,0)</f>
        <v>SAMSUNG GALAXY S20FE 128GB 5G</v>
      </c>
      <c r="D16" s="3" t="s">
        <v>0</v>
      </c>
      <c r="E16" s="7"/>
      <c r="F16" s="7">
        <v>13</v>
      </c>
      <c r="G16" s="7">
        <v>6.1</v>
      </c>
      <c r="H16" s="7">
        <v>13</v>
      </c>
      <c r="I16" s="7">
        <v>2</v>
      </c>
      <c r="J16" s="7">
        <v>12</v>
      </c>
      <c r="K16" s="8">
        <v>256</v>
      </c>
      <c r="L16" s="7" t="s">
        <v>192</v>
      </c>
      <c r="M16" s="31">
        <v>6</v>
      </c>
      <c r="N16" s="7">
        <v>4</v>
      </c>
      <c r="O16" s="7">
        <v>194</v>
      </c>
      <c r="P16" s="7">
        <v>15</v>
      </c>
      <c r="Q16" s="7">
        <v>7.57</v>
      </c>
      <c r="R16" s="7">
        <v>0.83</v>
      </c>
      <c r="S16" s="7">
        <v>3110</v>
      </c>
      <c r="T16" s="7">
        <v>4.5</v>
      </c>
      <c r="U16" s="6">
        <v>128</v>
      </c>
      <c r="V16"/>
    </row>
    <row r="17" spans="1:22" ht="16.5" customHeight="1" x14ac:dyDescent="0.25">
      <c r="A17" t="s">
        <v>180</v>
      </c>
      <c r="B17" s="14" t="str">
        <f>VLOOKUP(VERIFICAREQUIPOS[[#This Row],[SEGÚN LISTA]],EQUIPOS[EQUIPOS],1,0)</f>
        <v>OPPO RENO 7 256GB</v>
      </c>
      <c r="D17" s="3" t="s">
        <v>1</v>
      </c>
      <c r="E17" s="7"/>
      <c r="F17" s="7">
        <v>13</v>
      </c>
      <c r="G17" s="7">
        <v>6.1</v>
      </c>
      <c r="H17" s="7">
        <v>13</v>
      </c>
      <c r="I17" s="7">
        <v>2</v>
      </c>
      <c r="J17" s="7">
        <v>12</v>
      </c>
      <c r="K17" s="8">
        <v>64</v>
      </c>
      <c r="L17" s="7" t="s">
        <v>192</v>
      </c>
      <c r="M17" s="31">
        <v>6</v>
      </c>
      <c r="N17" s="7">
        <v>4</v>
      </c>
      <c r="O17" s="7">
        <v>194</v>
      </c>
      <c r="P17" s="7">
        <v>15</v>
      </c>
      <c r="Q17" s="7">
        <v>7.57</v>
      </c>
      <c r="R17" s="7">
        <v>0.83</v>
      </c>
      <c r="S17" s="7">
        <v>3110</v>
      </c>
      <c r="T17" s="7">
        <v>4.5</v>
      </c>
      <c r="U17" s="6">
        <v>129</v>
      </c>
      <c r="V17"/>
    </row>
    <row r="18" spans="1:22" ht="16.5" customHeight="1" x14ac:dyDescent="0.25">
      <c r="A18" t="s">
        <v>204</v>
      </c>
      <c r="B18" s="14" t="str">
        <f>VLOOKUP(VERIFICAREQUIPOS[[#This Row],[SEGÚN LISTA]],EQUIPOS[EQUIPOS],1,0)</f>
        <v>SAMSUNG GALAXY A54 256GB 5G</v>
      </c>
      <c r="D18" s="3" t="s">
        <v>32</v>
      </c>
      <c r="E18" s="7"/>
      <c r="F18" s="7">
        <v>11</v>
      </c>
      <c r="G18" s="7">
        <v>7.6</v>
      </c>
      <c r="H18" s="7">
        <v>12</v>
      </c>
      <c r="I18" s="7">
        <v>3</v>
      </c>
      <c r="J18" s="7">
        <v>12</v>
      </c>
      <c r="K18" s="8">
        <v>256</v>
      </c>
      <c r="L18" s="7" t="s">
        <v>192</v>
      </c>
      <c r="M18" s="31">
        <v>8</v>
      </c>
      <c r="N18" s="7">
        <v>12</v>
      </c>
      <c r="O18" s="7">
        <v>271</v>
      </c>
      <c r="P18" s="9">
        <v>15.8</v>
      </c>
      <c r="Q18" s="7">
        <v>12.8</v>
      </c>
      <c r="R18" s="7">
        <v>0.64</v>
      </c>
      <c r="S18" s="7">
        <v>4400</v>
      </c>
      <c r="T18" s="7">
        <v>5</v>
      </c>
      <c r="U18" s="6">
        <v>83</v>
      </c>
      <c r="V18"/>
    </row>
    <row r="19" spans="1:22" ht="16.5" customHeight="1" x14ac:dyDescent="0.25">
      <c r="A19" t="s">
        <v>48</v>
      </c>
      <c r="B19" s="14" t="str">
        <f>VLOOKUP(VERIFICAREQUIPOS[[#This Row],[SEGÚN LISTA]],EQUIPOS[EQUIPOS],1,0)</f>
        <v>SAMSUNG GALAXY S21FE 128GB</v>
      </c>
      <c r="D19" s="3" t="s">
        <v>62</v>
      </c>
      <c r="E19" s="7"/>
      <c r="F19" s="7">
        <v>11</v>
      </c>
      <c r="G19" s="7">
        <v>6.67</v>
      </c>
      <c r="H19" s="7">
        <v>108</v>
      </c>
      <c r="I19" s="7">
        <v>3</v>
      </c>
      <c r="J19" s="7">
        <v>16</v>
      </c>
      <c r="K19" s="10">
        <v>256</v>
      </c>
      <c r="L19" s="7" t="s">
        <v>192</v>
      </c>
      <c r="M19" s="31">
        <v>8</v>
      </c>
      <c r="N19" s="7">
        <v>8</v>
      </c>
      <c r="O19" s="7">
        <v>204</v>
      </c>
      <c r="P19" s="7">
        <v>16.100000000000001</v>
      </c>
      <c r="Q19" s="7">
        <v>7.69</v>
      </c>
      <c r="R19" s="7">
        <v>0.88</v>
      </c>
      <c r="S19" s="7">
        <v>5000</v>
      </c>
      <c r="T19" s="7">
        <v>5</v>
      </c>
      <c r="U19" s="6">
        <v>96</v>
      </c>
      <c r="V19"/>
    </row>
    <row r="20" spans="1:22" ht="16.5" customHeight="1" x14ac:dyDescent="0.25">
      <c r="D20" s="3" t="s">
        <v>54</v>
      </c>
      <c r="E20" s="7"/>
      <c r="F20" s="7">
        <v>11</v>
      </c>
      <c r="G20" s="7">
        <v>6.8</v>
      </c>
      <c r="H20" s="7">
        <v>108</v>
      </c>
      <c r="I20" s="7">
        <v>4</v>
      </c>
      <c r="J20" s="7">
        <v>16</v>
      </c>
      <c r="K20" s="10">
        <v>128</v>
      </c>
      <c r="L20" s="7" t="s">
        <v>192</v>
      </c>
      <c r="M20" s="31">
        <v>8</v>
      </c>
      <c r="N20" s="7">
        <v>8</v>
      </c>
      <c r="O20" s="7">
        <v>202</v>
      </c>
      <c r="P20" s="7">
        <v>16.8</v>
      </c>
      <c r="Q20" s="7">
        <v>7.55</v>
      </c>
      <c r="R20" s="7">
        <v>0.89</v>
      </c>
      <c r="S20" s="7">
        <v>5000</v>
      </c>
      <c r="T20" s="7">
        <v>5</v>
      </c>
      <c r="U20" s="6">
        <v>29</v>
      </c>
      <c r="V20"/>
    </row>
    <row r="21" spans="1:22" ht="16.5" customHeight="1" x14ac:dyDescent="0.25">
      <c r="D21" s="3" t="s">
        <v>48</v>
      </c>
      <c r="E21" s="7"/>
      <c r="F21" s="7">
        <v>11</v>
      </c>
      <c r="G21" s="7">
        <v>6.4</v>
      </c>
      <c r="H21" s="7">
        <v>12</v>
      </c>
      <c r="I21" s="7">
        <v>3</v>
      </c>
      <c r="J21" s="7">
        <v>32</v>
      </c>
      <c r="K21" s="8">
        <v>128</v>
      </c>
      <c r="L21" s="7" t="s">
        <v>192</v>
      </c>
      <c r="M21" s="31">
        <v>8</v>
      </c>
      <c r="N21" s="7">
        <v>8</v>
      </c>
      <c r="O21" s="7">
        <v>177</v>
      </c>
      <c r="P21" s="7">
        <v>15.5</v>
      </c>
      <c r="Q21" s="7">
        <v>7.45</v>
      </c>
      <c r="R21" s="7">
        <v>0.79</v>
      </c>
      <c r="S21" s="7">
        <v>4500</v>
      </c>
      <c r="T21" s="7">
        <v>5</v>
      </c>
      <c r="U21" s="6">
        <v>71</v>
      </c>
      <c r="V21"/>
    </row>
    <row r="22" spans="1:22" ht="16.5" customHeight="1" x14ac:dyDescent="0.25">
      <c r="D22" s="3" t="s">
        <v>59</v>
      </c>
      <c r="E22" s="7"/>
      <c r="F22" s="7">
        <v>12</v>
      </c>
      <c r="G22" s="7">
        <v>6.1</v>
      </c>
      <c r="H22" s="7">
        <v>50</v>
      </c>
      <c r="I22" s="7">
        <v>3</v>
      </c>
      <c r="J22" s="7">
        <v>10</v>
      </c>
      <c r="K22" s="8">
        <v>128</v>
      </c>
      <c r="L22" s="7" t="s">
        <v>192</v>
      </c>
      <c r="M22" s="31">
        <v>8</v>
      </c>
      <c r="N22" s="7">
        <v>8</v>
      </c>
      <c r="O22" s="7">
        <v>167</v>
      </c>
      <c r="P22" s="7">
        <v>14.6</v>
      </c>
      <c r="Q22" s="7">
        <v>7.06</v>
      </c>
      <c r="R22" s="7">
        <v>0.76</v>
      </c>
      <c r="S22" s="7">
        <v>3700</v>
      </c>
      <c r="T22" s="7">
        <v>5</v>
      </c>
      <c r="U22" s="6">
        <v>72</v>
      </c>
      <c r="V22"/>
    </row>
    <row r="23" spans="1:22" ht="16.5" customHeight="1" x14ac:dyDescent="0.25">
      <c r="D23" s="3" t="s">
        <v>60</v>
      </c>
      <c r="E23" s="7"/>
      <c r="F23" s="7">
        <v>12</v>
      </c>
      <c r="G23" s="7">
        <v>6.6</v>
      </c>
      <c r="H23" s="7">
        <v>50</v>
      </c>
      <c r="I23" s="7">
        <v>3</v>
      </c>
      <c r="J23" s="7">
        <v>10</v>
      </c>
      <c r="K23" s="8">
        <v>128</v>
      </c>
      <c r="L23" s="7" t="s">
        <v>192</v>
      </c>
      <c r="M23" s="31">
        <v>8</v>
      </c>
      <c r="N23" s="7">
        <v>8</v>
      </c>
      <c r="O23" s="7">
        <v>195</v>
      </c>
      <c r="P23" s="7">
        <v>15.7</v>
      </c>
      <c r="Q23" s="7">
        <v>7.58</v>
      </c>
      <c r="R23" s="7">
        <v>0.76</v>
      </c>
      <c r="S23" s="7">
        <v>4500</v>
      </c>
      <c r="T23" s="7">
        <v>5</v>
      </c>
      <c r="U23" s="6">
        <v>73</v>
      </c>
      <c r="V23"/>
    </row>
    <row r="24" spans="1:22" ht="16.5" customHeight="1" x14ac:dyDescent="0.25">
      <c r="D24" s="3" t="s">
        <v>61</v>
      </c>
      <c r="E24" s="7"/>
      <c r="F24" s="7">
        <v>12</v>
      </c>
      <c r="G24" s="7">
        <v>6.8</v>
      </c>
      <c r="H24" s="7">
        <v>108</v>
      </c>
      <c r="I24" s="7">
        <v>3</v>
      </c>
      <c r="J24" s="7">
        <v>40</v>
      </c>
      <c r="K24" s="8">
        <v>128</v>
      </c>
      <c r="L24" s="7" t="s">
        <v>192</v>
      </c>
      <c r="M24" s="31">
        <v>8</v>
      </c>
      <c r="N24" s="7">
        <v>8</v>
      </c>
      <c r="O24" s="7">
        <v>228</v>
      </c>
      <c r="P24" s="7">
        <v>16.3</v>
      </c>
      <c r="Q24" s="7">
        <v>7.79</v>
      </c>
      <c r="R24" s="7">
        <v>0.89</v>
      </c>
      <c r="S24" s="7">
        <v>5000</v>
      </c>
      <c r="T24" s="7">
        <v>5</v>
      </c>
      <c r="U24" s="6">
        <v>74</v>
      </c>
      <c r="V24"/>
    </row>
    <row r="25" spans="1:22" ht="16.5" customHeight="1" x14ac:dyDescent="0.25">
      <c r="D25" s="3" t="s">
        <v>129</v>
      </c>
      <c r="E25" s="7"/>
      <c r="F25" s="7">
        <v>12</v>
      </c>
      <c r="G25" s="7">
        <v>6.78</v>
      </c>
      <c r="H25" s="7">
        <v>50</v>
      </c>
      <c r="I25" s="7">
        <v>4</v>
      </c>
      <c r="J25" s="7">
        <v>32</v>
      </c>
      <c r="K25" s="10">
        <v>256</v>
      </c>
      <c r="L25" s="7" t="s">
        <v>192</v>
      </c>
      <c r="M25" s="31">
        <v>8</v>
      </c>
      <c r="N25" s="7">
        <v>12</v>
      </c>
      <c r="O25" s="7">
        <v>215</v>
      </c>
      <c r="P25" s="7">
        <v>16.399999999999999</v>
      </c>
      <c r="Q25" s="7">
        <v>7.53</v>
      </c>
      <c r="R25" s="7">
        <v>0.91</v>
      </c>
      <c r="S25" s="7">
        <v>4700</v>
      </c>
      <c r="T25" s="7">
        <v>5</v>
      </c>
      <c r="U25" s="6">
        <v>87</v>
      </c>
      <c r="V25"/>
    </row>
    <row r="26" spans="1:22" ht="16.5" customHeight="1" x14ac:dyDescent="0.25">
      <c r="D26" s="3" t="s">
        <v>76</v>
      </c>
      <c r="E26" s="7"/>
      <c r="F26" s="7">
        <v>12</v>
      </c>
      <c r="G26" s="7">
        <v>6.7</v>
      </c>
      <c r="H26" s="7">
        <v>50</v>
      </c>
      <c r="I26" s="7">
        <v>3</v>
      </c>
      <c r="J26" s="7">
        <v>60</v>
      </c>
      <c r="K26" s="8">
        <v>256</v>
      </c>
      <c r="L26" s="7" t="s">
        <v>192</v>
      </c>
      <c r="M26" s="31">
        <v>8</v>
      </c>
      <c r="N26" s="7">
        <v>12</v>
      </c>
      <c r="O26" s="7">
        <v>196</v>
      </c>
      <c r="P26" s="7">
        <v>16.3</v>
      </c>
      <c r="Q26" s="7">
        <v>7.6</v>
      </c>
      <c r="R26" s="7">
        <v>0.88</v>
      </c>
      <c r="S26" s="7">
        <v>4800</v>
      </c>
      <c r="T26" s="7">
        <v>5</v>
      </c>
      <c r="U26" s="6">
        <v>28</v>
      </c>
      <c r="V26"/>
    </row>
    <row r="27" spans="1:22" ht="16.5" customHeight="1" x14ac:dyDescent="0.25">
      <c r="D27" s="3" t="s">
        <v>126</v>
      </c>
      <c r="E27" s="7"/>
      <c r="F27" s="7">
        <v>12</v>
      </c>
      <c r="G27" s="7">
        <v>6.7</v>
      </c>
      <c r="H27" s="7">
        <v>50</v>
      </c>
      <c r="I27" s="7">
        <v>3</v>
      </c>
      <c r="J27" s="7">
        <v>60</v>
      </c>
      <c r="K27" s="10">
        <v>256</v>
      </c>
      <c r="L27" s="7" t="s">
        <v>192</v>
      </c>
      <c r="M27" s="31">
        <v>8</v>
      </c>
      <c r="N27" s="7">
        <v>12</v>
      </c>
      <c r="O27" s="7">
        <v>196</v>
      </c>
      <c r="P27" s="7">
        <v>16.3</v>
      </c>
      <c r="Q27" s="7">
        <v>7.6</v>
      </c>
      <c r="R27" s="7">
        <v>0.88</v>
      </c>
      <c r="S27" s="7">
        <v>4800</v>
      </c>
      <c r="T27" s="7">
        <v>5</v>
      </c>
      <c r="U27" s="6">
        <v>37</v>
      </c>
      <c r="V27"/>
    </row>
    <row r="28" spans="1:22" ht="16.5" customHeight="1" x14ac:dyDescent="0.25">
      <c r="D28" s="3" t="s">
        <v>80</v>
      </c>
      <c r="E28" s="7"/>
      <c r="F28" s="7">
        <v>12</v>
      </c>
      <c r="G28" s="7">
        <v>6.28</v>
      </c>
      <c r="H28" s="7">
        <v>50</v>
      </c>
      <c r="I28" s="7">
        <v>3</v>
      </c>
      <c r="J28" s="7">
        <v>32</v>
      </c>
      <c r="K28" s="10">
        <v>256</v>
      </c>
      <c r="L28" s="7" t="s">
        <v>192</v>
      </c>
      <c r="M28" s="31">
        <v>8</v>
      </c>
      <c r="N28" s="7">
        <v>8</v>
      </c>
      <c r="O28" s="7">
        <v>180</v>
      </c>
      <c r="P28" s="7">
        <v>15.2</v>
      </c>
      <c r="Q28" s="7">
        <v>6.99</v>
      </c>
      <c r="R28" s="7">
        <v>0.82</v>
      </c>
      <c r="S28" s="7">
        <v>4500</v>
      </c>
      <c r="T28" s="7">
        <v>5</v>
      </c>
      <c r="U28" s="6">
        <v>97</v>
      </c>
      <c r="V28"/>
    </row>
    <row r="29" spans="1:22" ht="16.5" customHeight="1" x14ac:dyDescent="0.25">
      <c r="D29" s="3" t="s">
        <v>35</v>
      </c>
      <c r="E29" s="7"/>
      <c r="F29" s="7">
        <v>11</v>
      </c>
      <c r="G29" s="7">
        <v>6.67</v>
      </c>
      <c r="H29" s="7">
        <v>108</v>
      </c>
      <c r="I29" s="7">
        <v>3</v>
      </c>
      <c r="J29" s="7">
        <v>16</v>
      </c>
      <c r="K29" s="10">
        <v>256</v>
      </c>
      <c r="L29" s="7" t="s">
        <v>192</v>
      </c>
      <c r="M29" s="31">
        <v>8</v>
      </c>
      <c r="N29" s="7">
        <v>8</v>
      </c>
      <c r="O29" s="7">
        <v>203</v>
      </c>
      <c r="P29" s="7">
        <v>16.399999999999999</v>
      </c>
      <c r="Q29" s="7">
        <v>7.69</v>
      </c>
      <c r="R29" s="7">
        <v>0.88</v>
      </c>
      <c r="S29" s="7">
        <v>5000</v>
      </c>
      <c r="T29" s="7">
        <v>5</v>
      </c>
      <c r="U29" s="6">
        <v>95</v>
      </c>
      <c r="V29"/>
    </row>
    <row r="30" spans="1:22" ht="16.5" customHeight="1" x14ac:dyDescent="0.25">
      <c r="D30" s="3" t="s">
        <v>2</v>
      </c>
      <c r="E30" s="7"/>
      <c r="F30" s="7">
        <v>14</v>
      </c>
      <c r="G30" s="7">
        <v>6.1</v>
      </c>
      <c r="H30" s="7">
        <v>12</v>
      </c>
      <c r="I30" s="7">
        <v>2</v>
      </c>
      <c r="J30" s="7">
        <v>12</v>
      </c>
      <c r="K30" s="8">
        <v>128</v>
      </c>
      <c r="L30" s="7" t="s">
        <v>192</v>
      </c>
      <c r="M30" s="31">
        <v>6</v>
      </c>
      <c r="N30" s="7">
        <v>4</v>
      </c>
      <c r="O30" s="7">
        <v>164</v>
      </c>
      <c r="P30" s="7">
        <v>14.6</v>
      </c>
      <c r="Q30" s="7">
        <v>7.15</v>
      </c>
      <c r="R30" s="7">
        <v>0.74</v>
      </c>
      <c r="S30" s="7">
        <v>2815</v>
      </c>
      <c r="T30" s="7">
        <v>5</v>
      </c>
      <c r="U30" s="6">
        <v>130</v>
      </c>
      <c r="V30"/>
    </row>
    <row r="31" spans="1:22" ht="16.5" customHeight="1" x14ac:dyDescent="0.25">
      <c r="D31" s="3" t="s">
        <v>3</v>
      </c>
      <c r="E31" s="7"/>
      <c r="F31" s="7">
        <v>14</v>
      </c>
      <c r="G31" s="7">
        <v>6.1</v>
      </c>
      <c r="H31" s="7">
        <v>12</v>
      </c>
      <c r="I31" s="7">
        <v>2</v>
      </c>
      <c r="J31" s="7">
        <v>12</v>
      </c>
      <c r="K31" s="8">
        <v>64</v>
      </c>
      <c r="L31" s="7" t="s">
        <v>192</v>
      </c>
      <c r="M31" s="31">
        <v>6</v>
      </c>
      <c r="N31" s="7">
        <v>4</v>
      </c>
      <c r="O31" s="7">
        <v>164</v>
      </c>
      <c r="P31" s="7">
        <v>14.6</v>
      </c>
      <c r="Q31" s="7">
        <v>7.15</v>
      </c>
      <c r="R31" s="7">
        <v>0.74</v>
      </c>
      <c r="S31" s="7">
        <v>2815</v>
      </c>
      <c r="T31" s="7">
        <v>5</v>
      </c>
      <c r="U31" s="6">
        <v>131</v>
      </c>
      <c r="V31"/>
    </row>
    <row r="32" spans="1:22" ht="16.5" customHeight="1" x14ac:dyDescent="0.25">
      <c r="D32" s="3" t="s">
        <v>51</v>
      </c>
      <c r="E32" s="7"/>
      <c r="F32" s="7">
        <v>14</v>
      </c>
      <c r="G32" s="7">
        <v>5.4</v>
      </c>
      <c r="H32" s="7">
        <v>12</v>
      </c>
      <c r="I32" s="7">
        <v>2</v>
      </c>
      <c r="J32" s="7">
        <v>12</v>
      </c>
      <c r="K32" s="8">
        <v>256</v>
      </c>
      <c r="L32" s="7" t="s">
        <v>192</v>
      </c>
      <c r="M32" s="31">
        <v>6</v>
      </c>
      <c r="N32" s="7">
        <v>4</v>
      </c>
      <c r="O32" s="7">
        <v>135</v>
      </c>
      <c r="P32" s="7">
        <v>13.1</v>
      </c>
      <c r="Q32" s="7">
        <v>6.42</v>
      </c>
      <c r="R32" s="7">
        <v>0.74</v>
      </c>
      <c r="S32" s="7">
        <v>2227</v>
      </c>
      <c r="T32" s="7">
        <v>5</v>
      </c>
      <c r="U32" s="6">
        <v>132</v>
      </c>
      <c r="V32"/>
    </row>
    <row r="33" spans="4:22" ht="16.5" customHeight="1" x14ac:dyDescent="0.25">
      <c r="D33" s="3" t="s">
        <v>94</v>
      </c>
      <c r="E33" s="7"/>
      <c r="F33" s="7">
        <v>15</v>
      </c>
      <c r="G33" s="7">
        <v>4.7</v>
      </c>
      <c r="H33" s="7">
        <v>12</v>
      </c>
      <c r="I33" s="7">
        <v>1</v>
      </c>
      <c r="J33" s="7">
        <v>7</v>
      </c>
      <c r="K33" s="10">
        <v>128</v>
      </c>
      <c r="L33" s="7" t="s">
        <v>192</v>
      </c>
      <c r="M33" s="31">
        <v>6</v>
      </c>
      <c r="N33" s="7">
        <v>4</v>
      </c>
      <c r="O33" s="7">
        <v>144</v>
      </c>
      <c r="P33" s="7">
        <v>13.84</v>
      </c>
      <c r="Q33" s="7">
        <v>6.73</v>
      </c>
      <c r="R33" s="7">
        <v>0.73</v>
      </c>
      <c r="S33" s="7">
        <v>2438</v>
      </c>
      <c r="T33" s="7">
        <v>5</v>
      </c>
      <c r="U33" s="6">
        <v>161</v>
      </c>
      <c r="V33"/>
    </row>
    <row r="34" spans="4:22" ht="16.5" customHeight="1" x14ac:dyDescent="0.25">
      <c r="D34" s="3" t="s">
        <v>91</v>
      </c>
      <c r="E34" s="7"/>
      <c r="F34" s="7">
        <v>15</v>
      </c>
      <c r="G34" s="7">
        <v>4.7</v>
      </c>
      <c r="H34" s="7">
        <v>12</v>
      </c>
      <c r="I34" s="7">
        <v>1</v>
      </c>
      <c r="J34" s="7">
        <v>7</v>
      </c>
      <c r="K34" s="10">
        <v>256</v>
      </c>
      <c r="L34" s="7" t="s">
        <v>192</v>
      </c>
      <c r="M34" s="31">
        <v>6</v>
      </c>
      <c r="N34" s="7">
        <v>4</v>
      </c>
      <c r="O34" s="7">
        <v>144</v>
      </c>
      <c r="P34" s="7">
        <v>13.84</v>
      </c>
      <c r="Q34" s="7">
        <v>6.73</v>
      </c>
      <c r="R34" s="7">
        <v>0.73</v>
      </c>
      <c r="S34" s="29">
        <v>2438</v>
      </c>
      <c r="T34" s="7">
        <v>5</v>
      </c>
      <c r="U34" s="6">
        <v>162</v>
      </c>
      <c r="V34"/>
    </row>
    <row r="35" spans="4:22" ht="16.5" customHeight="1" x14ac:dyDescent="0.25">
      <c r="D35" s="3" t="s">
        <v>89</v>
      </c>
      <c r="E35" s="7"/>
      <c r="F35" s="7">
        <v>15</v>
      </c>
      <c r="G35" s="7">
        <v>4.7</v>
      </c>
      <c r="H35" s="7">
        <v>12</v>
      </c>
      <c r="I35" s="7">
        <v>1</v>
      </c>
      <c r="J35" s="7">
        <v>7</v>
      </c>
      <c r="K35" s="10">
        <v>64</v>
      </c>
      <c r="L35" s="7" t="s">
        <v>192</v>
      </c>
      <c r="M35" s="31">
        <v>6</v>
      </c>
      <c r="N35" s="7">
        <v>4</v>
      </c>
      <c r="O35" s="7">
        <v>144</v>
      </c>
      <c r="P35" s="7">
        <v>13.84</v>
      </c>
      <c r="Q35" s="7">
        <v>6.73</v>
      </c>
      <c r="R35" s="7">
        <v>0.73</v>
      </c>
      <c r="S35" s="7">
        <v>2438</v>
      </c>
      <c r="T35" s="7">
        <v>5</v>
      </c>
      <c r="U35" s="6">
        <v>163</v>
      </c>
      <c r="V35"/>
    </row>
    <row r="36" spans="4:22" ht="16.5" customHeight="1" x14ac:dyDescent="0.25">
      <c r="D36" s="3" t="s">
        <v>103</v>
      </c>
      <c r="E36" s="7"/>
      <c r="F36" s="7">
        <v>12</v>
      </c>
      <c r="G36" s="7">
        <v>7.6</v>
      </c>
      <c r="H36" s="7">
        <v>50</v>
      </c>
      <c r="I36" s="7">
        <v>3</v>
      </c>
      <c r="J36" s="7">
        <v>10</v>
      </c>
      <c r="K36" s="10">
        <v>256</v>
      </c>
      <c r="L36" s="7" t="s">
        <v>192</v>
      </c>
      <c r="M36" s="31">
        <v>8</v>
      </c>
      <c r="N36" s="7">
        <v>12</v>
      </c>
      <c r="O36" s="7">
        <v>263</v>
      </c>
      <c r="P36" s="7">
        <v>15.5</v>
      </c>
      <c r="Q36" s="7">
        <v>13</v>
      </c>
      <c r="R36" s="7">
        <v>0.63</v>
      </c>
      <c r="S36" s="7">
        <v>4400</v>
      </c>
      <c r="T36" s="7">
        <v>5</v>
      </c>
      <c r="U36" s="6">
        <v>84</v>
      </c>
      <c r="V36"/>
    </row>
    <row r="37" spans="4:22" ht="16.5" customHeight="1" x14ac:dyDescent="0.25">
      <c r="D37" s="3" t="s">
        <v>102</v>
      </c>
      <c r="E37" s="7"/>
      <c r="F37" s="7">
        <v>12</v>
      </c>
      <c r="G37" s="7">
        <v>6.7</v>
      </c>
      <c r="H37" s="7">
        <v>12</v>
      </c>
      <c r="I37" s="7">
        <v>2</v>
      </c>
      <c r="J37" s="7">
        <v>10</v>
      </c>
      <c r="K37" s="10">
        <v>256</v>
      </c>
      <c r="L37" s="7" t="s">
        <v>192</v>
      </c>
      <c r="M37" s="31">
        <v>8</v>
      </c>
      <c r="N37" s="7">
        <v>8</v>
      </c>
      <c r="O37" s="7">
        <v>187</v>
      </c>
      <c r="P37" s="7">
        <v>16.5</v>
      </c>
      <c r="Q37" s="7">
        <v>7.13</v>
      </c>
      <c r="R37" s="7">
        <v>0.69</v>
      </c>
      <c r="S37" s="7">
        <v>3700</v>
      </c>
      <c r="T37" s="7">
        <v>5</v>
      </c>
      <c r="U37" s="6">
        <v>82</v>
      </c>
      <c r="V37"/>
    </row>
    <row r="38" spans="4:22" ht="16.5" customHeight="1" x14ac:dyDescent="0.25">
      <c r="D38" s="3" t="s">
        <v>4</v>
      </c>
      <c r="E38" s="7"/>
      <c r="F38" s="7">
        <v>15</v>
      </c>
      <c r="G38" s="7">
        <v>6.1</v>
      </c>
      <c r="H38" s="7">
        <v>12</v>
      </c>
      <c r="I38" s="7">
        <v>2</v>
      </c>
      <c r="J38" s="7">
        <v>12</v>
      </c>
      <c r="K38" s="8">
        <v>128</v>
      </c>
      <c r="L38" s="7" t="s">
        <v>192</v>
      </c>
      <c r="M38" s="31">
        <v>6</v>
      </c>
      <c r="N38" s="7">
        <v>4</v>
      </c>
      <c r="O38" s="7">
        <v>174</v>
      </c>
      <c r="P38" s="7">
        <v>14.6</v>
      </c>
      <c r="Q38" s="7">
        <v>7.15</v>
      </c>
      <c r="R38" s="7">
        <v>0.77</v>
      </c>
      <c r="S38" s="7">
        <v>3227</v>
      </c>
      <c r="T38" s="7">
        <v>5</v>
      </c>
      <c r="U38" s="6">
        <v>133</v>
      </c>
      <c r="V38"/>
    </row>
    <row r="39" spans="4:22" ht="16.5" customHeight="1" x14ac:dyDescent="0.25">
      <c r="D39" s="3" t="s">
        <v>5</v>
      </c>
      <c r="E39" s="7"/>
      <c r="F39" s="7">
        <v>15</v>
      </c>
      <c r="G39" s="7">
        <v>6.1</v>
      </c>
      <c r="H39" s="7">
        <v>12</v>
      </c>
      <c r="I39" s="7">
        <v>2</v>
      </c>
      <c r="J39" s="7">
        <v>12</v>
      </c>
      <c r="K39" s="8">
        <v>256</v>
      </c>
      <c r="L39" s="7" t="s">
        <v>192</v>
      </c>
      <c r="M39" s="31">
        <v>6</v>
      </c>
      <c r="N39" s="7">
        <v>4</v>
      </c>
      <c r="O39" s="7">
        <v>174</v>
      </c>
      <c r="P39" s="7">
        <v>14.6</v>
      </c>
      <c r="Q39" s="7">
        <v>7.15</v>
      </c>
      <c r="R39" s="7">
        <v>0.77</v>
      </c>
      <c r="S39" s="7">
        <v>3227</v>
      </c>
      <c r="T39" s="7">
        <v>5</v>
      </c>
      <c r="U39" s="6">
        <v>134</v>
      </c>
      <c r="V39"/>
    </row>
    <row r="40" spans="4:22" ht="16.5" customHeight="1" x14ac:dyDescent="0.25">
      <c r="D40" s="3" t="s">
        <v>6</v>
      </c>
      <c r="E40" s="7"/>
      <c r="F40" s="7">
        <v>15</v>
      </c>
      <c r="G40" s="7">
        <v>6.1</v>
      </c>
      <c r="H40" s="7">
        <v>12</v>
      </c>
      <c r="I40" s="7">
        <v>2</v>
      </c>
      <c r="J40" s="7">
        <v>12</v>
      </c>
      <c r="K40" s="8">
        <v>512</v>
      </c>
      <c r="L40" s="7" t="s">
        <v>192</v>
      </c>
      <c r="M40" s="31">
        <v>6</v>
      </c>
      <c r="N40" s="7">
        <v>4</v>
      </c>
      <c r="O40" s="7">
        <v>174</v>
      </c>
      <c r="P40" s="7">
        <v>14.6</v>
      </c>
      <c r="Q40" s="7">
        <v>7.15</v>
      </c>
      <c r="R40" s="7">
        <v>0.77</v>
      </c>
      <c r="S40" s="7">
        <v>3227</v>
      </c>
      <c r="T40" s="7">
        <v>5</v>
      </c>
      <c r="U40" s="6">
        <v>135</v>
      </c>
      <c r="V40"/>
    </row>
    <row r="41" spans="4:22" ht="16.5" customHeight="1" x14ac:dyDescent="0.25">
      <c r="D41" s="3" t="s">
        <v>7</v>
      </c>
      <c r="E41" s="7"/>
      <c r="F41" s="7">
        <v>15</v>
      </c>
      <c r="G41" s="7">
        <v>5.4</v>
      </c>
      <c r="H41" s="7">
        <v>12</v>
      </c>
      <c r="I41" s="7">
        <v>2</v>
      </c>
      <c r="J41" s="7">
        <v>12</v>
      </c>
      <c r="K41" s="8">
        <v>128</v>
      </c>
      <c r="L41" s="7" t="s">
        <v>192</v>
      </c>
      <c r="M41" s="31">
        <v>6</v>
      </c>
      <c r="N41" s="7">
        <v>4</v>
      </c>
      <c r="O41" s="7">
        <v>141</v>
      </c>
      <c r="P41" s="7">
        <v>13.1</v>
      </c>
      <c r="Q41" s="7">
        <v>6.42</v>
      </c>
      <c r="R41" s="7">
        <v>0.77</v>
      </c>
      <c r="S41" s="7">
        <v>2406</v>
      </c>
      <c r="T41" s="7">
        <v>5</v>
      </c>
      <c r="U41" s="6">
        <v>136</v>
      </c>
      <c r="V41"/>
    </row>
    <row r="42" spans="4:22" ht="16.5" customHeight="1" x14ac:dyDescent="0.25">
      <c r="D42" s="3" t="s">
        <v>8</v>
      </c>
      <c r="E42" s="7"/>
      <c r="F42" s="7">
        <v>15</v>
      </c>
      <c r="G42" s="7">
        <v>5.4</v>
      </c>
      <c r="H42" s="7">
        <v>12</v>
      </c>
      <c r="I42" s="7">
        <v>2</v>
      </c>
      <c r="J42" s="7">
        <v>12</v>
      </c>
      <c r="K42" s="8">
        <v>256</v>
      </c>
      <c r="L42" s="7" t="s">
        <v>192</v>
      </c>
      <c r="M42" s="31">
        <v>6</v>
      </c>
      <c r="N42" s="7">
        <v>4</v>
      </c>
      <c r="O42" s="7">
        <v>141</v>
      </c>
      <c r="P42" s="7">
        <v>13.1</v>
      </c>
      <c r="Q42" s="7">
        <v>6.42</v>
      </c>
      <c r="R42" s="7">
        <v>0.77</v>
      </c>
      <c r="S42" s="7">
        <v>2406</v>
      </c>
      <c r="T42" s="7">
        <v>5</v>
      </c>
      <c r="U42" s="6">
        <v>137</v>
      </c>
      <c r="V42"/>
    </row>
    <row r="43" spans="4:22" ht="16.5" customHeight="1" x14ac:dyDescent="0.25">
      <c r="D43" s="3" t="s">
        <v>9</v>
      </c>
      <c r="E43" s="7"/>
      <c r="F43" s="7">
        <v>15</v>
      </c>
      <c r="G43" s="7">
        <v>5.4</v>
      </c>
      <c r="H43" s="7">
        <v>12</v>
      </c>
      <c r="I43" s="7">
        <v>2</v>
      </c>
      <c r="J43" s="7">
        <v>12</v>
      </c>
      <c r="K43" s="8">
        <v>512</v>
      </c>
      <c r="L43" s="7" t="s">
        <v>192</v>
      </c>
      <c r="M43" s="31">
        <v>6</v>
      </c>
      <c r="N43" s="7">
        <v>4</v>
      </c>
      <c r="O43" s="7">
        <v>141</v>
      </c>
      <c r="P43" s="7">
        <v>13.1</v>
      </c>
      <c r="Q43" s="7">
        <v>6.42</v>
      </c>
      <c r="R43" s="7">
        <v>0.77</v>
      </c>
      <c r="S43" s="7">
        <v>2406</v>
      </c>
      <c r="T43" s="7">
        <v>5</v>
      </c>
      <c r="U43" s="6">
        <v>138</v>
      </c>
      <c r="V43"/>
    </row>
    <row r="44" spans="4:22" ht="16.5" customHeight="1" x14ac:dyDescent="0.25">
      <c r="D44" s="3" t="s">
        <v>10</v>
      </c>
      <c r="E44" s="7"/>
      <c r="F44" s="7">
        <v>15</v>
      </c>
      <c r="G44" s="7">
        <v>6.1</v>
      </c>
      <c r="H44" s="7">
        <v>12</v>
      </c>
      <c r="I44" s="7">
        <v>3</v>
      </c>
      <c r="J44" s="7">
        <v>12</v>
      </c>
      <c r="K44" s="8">
        <v>128</v>
      </c>
      <c r="L44" s="7" t="s">
        <v>192</v>
      </c>
      <c r="M44" s="31">
        <v>6</v>
      </c>
      <c r="N44" s="7">
        <v>3</v>
      </c>
      <c r="O44" s="7">
        <v>204</v>
      </c>
      <c r="P44" s="7">
        <v>14.6</v>
      </c>
      <c r="Q44" s="7">
        <v>7.15</v>
      </c>
      <c r="R44" s="7">
        <v>0.77</v>
      </c>
      <c r="S44" s="7">
        <v>3095</v>
      </c>
      <c r="T44" s="7">
        <v>5</v>
      </c>
      <c r="U44" s="6">
        <v>139</v>
      </c>
      <c r="V44"/>
    </row>
    <row r="45" spans="4:22" ht="16.5" customHeight="1" x14ac:dyDescent="0.25">
      <c r="D45" s="3" t="s">
        <v>11</v>
      </c>
      <c r="E45" s="7"/>
      <c r="F45" s="7">
        <v>15</v>
      </c>
      <c r="G45" s="7">
        <v>6.1</v>
      </c>
      <c r="H45" s="7">
        <v>12</v>
      </c>
      <c r="I45" s="7">
        <v>3</v>
      </c>
      <c r="J45" s="7">
        <v>12</v>
      </c>
      <c r="K45" s="8">
        <v>1024</v>
      </c>
      <c r="L45" s="7" t="s">
        <v>192</v>
      </c>
      <c r="M45" s="31">
        <v>6</v>
      </c>
      <c r="N45" s="7">
        <v>3</v>
      </c>
      <c r="O45" s="7">
        <v>204</v>
      </c>
      <c r="P45" s="7">
        <v>14.6</v>
      </c>
      <c r="Q45" s="7">
        <v>7.15</v>
      </c>
      <c r="R45" s="7">
        <v>0.77</v>
      </c>
      <c r="S45" s="7">
        <v>3095</v>
      </c>
      <c r="T45" s="7">
        <v>5</v>
      </c>
      <c r="U45" s="6">
        <v>140</v>
      </c>
      <c r="V45"/>
    </row>
    <row r="46" spans="4:22" ht="16.5" customHeight="1" x14ac:dyDescent="0.25">
      <c r="D46" s="3" t="s">
        <v>12</v>
      </c>
      <c r="E46" s="7"/>
      <c r="F46" s="7">
        <v>15</v>
      </c>
      <c r="G46" s="7">
        <v>6.1</v>
      </c>
      <c r="H46" s="7">
        <v>12</v>
      </c>
      <c r="I46" s="7">
        <v>3</v>
      </c>
      <c r="J46" s="7">
        <v>12</v>
      </c>
      <c r="K46" s="8">
        <v>256</v>
      </c>
      <c r="L46" s="7" t="s">
        <v>192</v>
      </c>
      <c r="M46" s="31">
        <v>6</v>
      </c>
      <c r="N46" s="7">
        <v>3</v>
      </c>
      <c r="O46" s="7">
        <v>204</v>
      </c>
      <c r="P46" s="7">
        <v>14.6</v>
      </c>
      <c r="Q46" s="7">
        <v>7.15</v>
      </c>
      <c r="R46" s="7">
        <v>0.77</v>
      </c>
      <c r="S46" s="7">
        <v>3095</v>
      </c>
      <c r="T46" s="7">
        <v>5</v>
      </c>
      <c r="U46" s="6">
        <v>141</v>
      </c>
      <c r="V46"/>
    </row>
    <row r="47" spans="4:22" ht="16.5" customHeight="1" x14ac:dyDescent="0.25">
      <c r="D47" s="3" t="s">
        <v>13</v>
      </c>
      <c r="E47" s="7"/>
      <c r="F47" s="7">
        <v>15</v>
      </c>
      <c r="G47" s="7">
        <v>6.1</v>
      </c>
      <c r="H47" s="7">
        <v>12</v>
      </c>
      <c r="I47" s="7">
        <v>3</v>
      </c>
      <c r="J47" s="7">
        <v>12</v>
      </c>
      <c r="K47" s="8">
        <v>512</v>
      </c>
      <c r="L47" s="7" t="s">
        <v>192</v>
      </c>
      <c r="M47" s="31">
        <v>6</v>
      </c>
      <c r="N47" s="7">
        <v>3</v>
      </c>
      <c r="O47" s="7">
        <v>204</v>
      </c>
      <c r="P47" s="7">
        <v>14.6</v>
      </c>
      <c r="Q47" s="7">
        <v>7.15</v>
      </c>
      <c r="R47" s="7">
        <v>0.77</v>
      </c>
      <c r="S47" s="7">
        <v>3095</v>
      </c>
      <c r="T47" s="7">
        <v>5</v>
      </c>
      <c r="U47" s="6">
        <v>142</v>
      </c>
      <c r="V47"/>
    </row>
    <row r="48" spans="4:22" ht="16.5" customHeight="1" x14ac:dyDescent="0.25">
      <c r="D48" s="3" t="s">
        <v>42</v>
      </c>
      <c r="E48" s="7"/>
      <c r="F48" s="7">
        <v>15</v>
      </c>
      <c r="G48" s="7">
        <v>6.7</v>
      </c>
      <c r="H48" s="7">
        <v>12</v>
      </c>
      <c r="I48" s="7">
        <v>3</v>
      </c>
      <c r="J48" s="7">
        <v>12</v>
      </c>
      <c r="K48" s="10">
        <v>128</v>
      </c>
      <c r="L48" s="7" t="s">
        <v>192</v>
      </c>
      <c r="M48" s="31">
        <v>6</v>
      </c>
      <c r="N48" s="7">
        <v>6</v>
      </c>
      <c r="O48" s="7">
        <v>238</v>
      </c>
      <c r="P48" s="7">
        <v>16</v>
      </c>
      <c r="Q48" s="7">
        <v>7.65</v>
      </c>
      <c r="R48" s="7">
        <v>0.78</v>
      </c>
      <c r="S48" s="7">
        <v>4352</v>
      </c>
      <c r="T48" s="7">
        <v>5</v>
      </c>
      <c r="U48" s="6">
        <v>143</v>
      </c>
      <c r="V48"/>
    </row>
    <row r="49" spans="4:22" ht="16.5" customHeight="1" x14ac:dyDescent="0.25">
      <c r="D49" s="3" t="s">
        <v>43</v>
      </c>
      <c r="E49" s="7"/>
      <c r="F49" s="7">
        <v>15</v>
      </c>
      <c r="G49" s="7">
        <v>6.7</v>
      </c>
      <c r="H49" s="7">
        <v>12</v>
      </c>
      <c r="I49" s="7">
        <v>3</v>
      </c>
      <c r="J49" s="7">
        <v>12</v>
      </c>
      <c r="K49" s="10">
        <v>1024</v>
      </c>
      <c r="L49" s="7" t="s">
        <v>192</v>
      </c>
      <c r="M49" s="31">
        <v>6</v>
      </c>
      <c r="N49" s="7">
        <v>6</v>
      </c>
      <c r="O49" s="7">
        <v>238</v>
      </c>
      <c r="P49" s="7">
        <v>16</v>
      </c>
      <c r="Q49" s="7">
        <v>7.65</v>
      </c>
      <c r="R49" s="7">
        <v>0.78</v>
      </c>
      <c r="S49" s="7">
        <v>4352</v>
      </c>
      <c r="T49" s="7">
        <v>5</v>
      </c>
      <c r="U49" s="6">
        <v>144</v>
      </c>
      <c r="V49"/>
    </row>
    <row r="50" spans="4:22" ht="16.5" customHeight="1" x14ac:dyDescent="0.25">
      <c r="D50" s="25" t="s">
        <v>57</v>
      </c>
      <c r="E50" s="7"/>
      <c r="F50" s="7">
        <v>15</v>
      </c>
      <c r="G50" s="7">
        <v>6.7</v>
      </c>
      <c r="H50" s="7">
        <v>12</v>
      </c>
      <c r="I50" s="7">
        <v>3</v>
      </c>
      <c r="J50" s="7">
        <v>12</v>
      </c>
      <c r="K50" s="10">
        <v>256</v>
      </c>
      <c r="L50" s="7" t="s">
        <v>192</v>
      </c>
      <c r="M50" s="31">
        <v>6</v>
      </c>
      <c r="N50" s="7">
        <v>6</v>
      </c>
      <c r="O50" s="7">
        <v>238</v>
      </c>
      <c r="P50" s="7">
        <v>16</v>
      </c>
      <c r="Q50" s="7">
        <v>7.65</v>
      </c>
      <c r="R50" s="7">
        <v>0.78</v>
      </c>
      <c r="S50" s="7">
        <v>4352</v>
      </c>
      <c r="T50" s="7">
        <v>5</v>
      </c>
      <c r="U50" s="6">
        <v>145</v>
      </c>
      <c r="V50"/>
    </row>
    <row r="51" spans="4:22" ht="16.5" customHeight="1" x14ac:dyDescent="0.25">
      <c r="D51" s="3" t="s">
        <v>44</v>
      </c>
      <c r="E51" s="7"/>
      <c r="F51" s="7">
        <v>15</v>
      </c>
      <c r="G51" s="7">
        <v>6.7</v>
      </c>
      <c r="H51" s="7">
        <v>12</v>
      </c>
      <c r="I51" s="7">
        <v>3</v>
      </c>
      <c r="J51" s="7">
        <v>12</v>
      </c>
      <c r="K51" s="10">
        <v>512</v>
      </c>
      <c r="L51" s="7" t="s">
        <v>192</v>
      </c>
      <c r="M51" s="31">
        <v>6</v>
      </c>
      <c r="N51" s="7">
        <v>6</v>
      </c>
      <c r="O51" s="7">
        <v>238</v>
      </c>
      <c r="P51" s="7">
        <v>16</v>
      </c>
      <c r="Q51" s="7">
        <v>7.65</v>
      </c>
      <c r="R51" s="7">
        <v>0.78</v>
      </c>
      <c r="S51" s="7">
        <v>4352</v>
      </c>
      <c r="T51" s="7">
        <v>4.5</v>
      </c>
      <c r="U51" s="6">
        <v>146</v>
      </c>
      <c r="V51"/>
    </row>
    <row r="52" spans="4:22" ht="16.5" customHeight="1" x14ac:dyDescent="0.25">
      <c r="D52" s="3" t="s">
        <v>104</v>
      </c>
      <c r="E52" s="7"/>
      <c r="F52" s="7">
        <v>16</v>
      </c>
      <c r="G52" s="7">
        <v>6.1</v>
      </c>
      <c r="H52" s="7">
        <v>12</v>
      </c>
      <c r="I52" s="7">
        <v>3</v>
      </c>
      <c r="J52" s="7">
        <v>12</v>
      </c>
      <c r="K52" s="10">
        <v>128</v>
      </c>
      <c r="L52" s="7" t="s">
        <v>192</v>
      </c>
      <c r="M52" s="31">
        <v>6</v>
      </c>
      <c r="N52" s="7">
        <v>6</v>
      </c>
      <c r="O52" s="7">
        <v>172</v>
      </c>
      <c r="P52" s="7">
        <v>14.67</v>
      </c>
      <c r="Q52" s="7">
        <v>7.15</v>
      </c>
      <c r="R52" s="7">
        <v>0.78</v>
      </c>
      <c r="S52" s="7">
        <v>3279</v>
      </c>
      <c r="T52" s="7">
        <v>5</v>
      </c>
      <c r="U52" s="6">
        <v>147</v>
      </c>
      <c r="V52"/>
    </row>
    <row r="53" spans="4:22" ht="16.5" customHeight="1" x14ac:dyDescent="0.25">
      <c r="D53" s="3" t="s">
        <v>105</v>
      </c>
      <c r="E53" s="7"/>
      <c r="F53" s="7">
        <v>16</v>
      </c>
      <c r="G53" s="7">
        <v>6.1</v>
      </c>
      <c r="H53" s="7">
        <v>12</v>
      </c>
      <c r="I53" s="7">
        <v>3</v>
      </c>
      <c r="J53" s="7">
        <v>12</v>
      </c>
      <c r="K53" s="10">
        <v>256</v>
      </c>
      <c r="L53" s="7" t="s">
        <v>192</v>
      </c>
      <c r="M53" s="31">
        <v>6</v>
      </c>
      <c r="N53" s="7">
        <v>6</v>
      </c>
      <c r="O53" s="7">
        <v>172</v>
      </c>
      <c r="P53" s="7">
        <v>14.67</v>
      </c>
      <c r="Q53" s="7">
        <v>7.15</v>
      </c>
      <c r="R53" s="7">
        <v>0.78</v>
      </c>
      <c r="S53" s="7">
        <v>3279</v>
      </c>
      <c r="T53" s="7">
        <v>5</v>
      </c>
      <c r="U53" s="6">
        <v>148</v>
      </c>
      <c r="V53"/>
    </row>
    <row r="54" spans="4:22" ht="16.5" customHeight="1" x14ac:dyDescent="0.25">
      <c r="D54" s="3" t="s">
        <v>106</v>
      </c>
      <c r="E54" s="7"/>
      <c r="F54" s="7">
        <v>16</v>
      </c>
      <c r="G54" s="7">
        <v>6.1</v>
      </c>
      <c r="H54" s="7">
        <v>12</v>
      </c>
      <c r="I54" s="7">
        <v>3</v>
      </c>
      <c r="J54" s="7">
        <v>12</v>
      </c>
      <c r="K54" s="10">
        <v>512</v>
      </c>
      <c r="L54" s="7" t="s">
        <v>192</v>
      </c>
      <c r="M54" s="31">
        <v>6</v>
      </c>
      <c r="N54" s="7">
        <v>6</v>
      </c>
      <c r="O54" s="7">
        <v>172</v>
      </c>
      <c r="P54" s="7">
        <v>14.67</v>
      </c>
      <c r="Q54" s="7">
        <v>7.15</v>
      </c>
      <c r="R54" s="7">
        <v>0.78</v>
      </c>
      <c r="S54" s="7">
        <v>3279</v>
      </c>
      <c r="T54" s="7">
        <v>5</v>
      </c>
      <c r="U54" s="6">
        <v>149</v>
      </c>
      <c r="V54"/>
    </row>
    <row r="55" spans="4:22" ht="16.5" customHeight="1" x14ac:dyDescent="0.25">
      <c r="D55" s="3" t="s">
        <v>107</v>
      </c>
      <c r="E55" s="7"/>
      <c r="F55" s="7">
        <v>16</v>
      </c>
      <c r="G55" s="7">
        <v>6.7</v>
      </c>
      <c r="H55" s="7">
        <v>12</v>
      </c>
      <c r="I55" s="7">
        <v>3</v>
      </c>
      <c r="J55" s="7">
        <v>12</v>
      </c>
      <c r="K55" s="10">
        <v>128</v>
      </c>
      <c r="L55" s="7" t="s">
        <v>192</v>
      </c>
      <c r="M55" s="31">
        <v>6</v>
      </c>
      <c r="N55" s="7">
        <v>6</v>
      </c>
      <c r="O55" s="7">
        <v>203</v>
      </c>
      <c r="P55" s="7">
        <v>16</v>
      </c>
      <c r="Q55" s="7">
        <v>7.81</v>
      </c>
      <c r="R55" s="7">
        <v>0.78</v>
      </c>
      <c r="S55" s="7">
        <v>4325</v>
      </c>
      <c r="T55" s="7">
        <v>5</v>
      </c>
      <c r="U55" s="6">
        <v>150</v>
      </c>
      <c r="V55"/>
    </row>
    <row r="56" spans="4:22" ht="16.5" customHeight="1" x14ac:dyDescent="0.25">
      <c r="D56" s="3" t="s">
        <v>108</v>
      </c>
      <c r="E56" s="7"/>
      <c r="F56" s="7">
        <v>16</v>
      </c>
      <c r="G56" s="7">
        <v>6.7</v>
      </c>
      <c r="H56" s="7">
        <v>12</v>
      </c>
      <c r="I56" s="7">
        <v>3</v>
      </c>
      <c r="J56" s="7">
        <v>12</v>
      </c>
      <c r="K56" s="10">
        <v>256</v>
      </c>
      <c r="L56" s="7" t="s">
        <v>192</v>
      </c>
      <c r="M56" s="31">
        <v>6</v>
      </c>
      <c r="N56" s="7">
        <v>6</v>
      </c>
      <c r="O56" s="7">
        <v>203</v>
      </c>
      <c r="P56" s="7">
        <v>16</v>
      </c>
      <c r="Q56" s="7">
        <v>7.81</v>
      </c>
      <c r="R56" s="7">
        <v>0.78</v>
      </c>
      <c r="S56" s="7">
        <v>4325</v>
      </c>
      <c r="T56" s="7">
        <v>5</v>
      </c>
      <c r="U56" s="6">
        <v>151</v>
      </c>
      <c r="V56"/>
    </row>
    <row r="57" spans="4:22" ht="16.5" customHeight="1" x14ac:dyDescent="0.25">
      <c r="D57" s="3" t="s">
        <v>109</v>
      </c>
      <c r="E57" s="7"/>
      <c r="F57" s="7">
        <v>16</v>
      </c>
      <c r="G57" s="7">
        <v>6.7</v>
      </c>
      <c r="H57" s="7">
        <v>12</v>
      </c>
      <c r="I57" s="7">
        <v>3</v>
      </c>
      <c r="J57" s="7">
        <v>12</v>
      </c>
      <c r="K57" s="10">
        <v>512</v>
      </c>
      <c r="L57" s="7" t="s">
        <v>192</v>
      </c>
      <c r="M57" s="31">
        <v>6</v>
      </c>
      <c r="N57" s="7">
        <v>6</v>
      </c>
      <c r="O57" s="7">
        <v>203</v>
      </c>
      <c r="P57" s="7">
        <v>16</v>
      </c>
      <c r="Q57" s="7">
        <v>7.81</v>
      </c>
      <c r="R57" s="7">
        <v>0.78</v>
      </c>
      <c r="S57" s="7">
        <v>4325</v>
      </c>
      <c r="T57" s="7">
        <v>5</v>
      </c>
      <c r="U57" s="6">
        <v>152</v>
      </c>
      <c r="V57"/>
    </row>
    <row r="58" spans="4:22" ht="16.5" customHeight="1" x14ac:dyDescent="0.25">
      <c r="D58" s="3" t="s">
        <v>110</v>
      </c>
      <c r="E58" s="7"/>
      <c r="F58" s="7">
        <v>16</v>
      </c>
      <c r="G58" s="7">
        <v>6.1</v>
      </c>
      <c r="H58" s="7">
        <v>48</v>
      </c>
      <c r="I58" s="7">
        <v>4</v>
      </c>
      <c r="J58" s="7">
        <v>12</v>
      </c>
      <c r="K58" s="10">
        <v>128</v>
      </c>
      <c r="L58" s="7" t="s">
        <v>192</v>
      </c>
      <c r="M58" s="31">
        <v>6</v>
      </c>
      <c r="N58" s="7">
        <v>6</v>
      </c>
      <c r="O58" s="7">
        <v>206</v>
      </c>
      <c r="P58" s="7">
        <v>14.75</v>
      </c>
      <c r="Q58" s="7">
        <v>7.15</v>
      </c>
      <c r="R58" s="7">
        <v>0.78500000000000003</v>
      </c>
      <c r="S58" s="7">
        <v>3200</v>
      </c>
      <c r="T58" s="7">
        <v>5</v>
      </c>
      <c r="U58" s="6">
        <v>153</v>
      </c>
      <c r="V58"/>
    </row>
    <row r="59" spans="4:22" ht="16.5" customHeight="1" x14ac:dyDescent="0.25">
      <c r="D59" s="3" t="s">
        <v>111</v>
      </c>
      <c r="E59" s="7"/>
      <c r="F59" s="7">
        <v>16</v>
      </c>
      <c r="G59" s="7">
        <v>6.1</v>
      </c>
      <c r="H59" s="7">
        <v>48</v>
      </c>
      <c r="I59" s="7">
        <v>4</v>
      </c>
      <c r="J59" s="7">
        <v>12</v>
      </c>
      <c r="K59" s="10">
        <v>1024</v>
      </c>
      <c r="L59" s="7" t="s">
        <v>192</v>
      </c>
      <c r="M59" s="31">
        <v>6</v>
      </c>
      <c r="N59" s="7">
        <v>6</v>
      </c>
      <c r="O59" s="7">
        <v>206</v>
      </c>
      <c r="P59" s="7">
        <v>14.75</v>
      </c>
      <c r="Q59" s="7">
        <v>7.15</v>
      </c>
      <c r="R59" s="7">
        <v>0.78500000000000003</v>
      </c>
      <c r="S59" s="7">
        <v>3200</v>
      </c>
      <c r="T59" s="7">
        <v>5</v>
      </c>
      <c r="U59" s="6">
        <v>154</v>
      </c>
      <c r="V59"/>
    </row>
    <row r="60" spans="4:22" ht="16.5" customHeight="1" x14ac:dyDescent="0.25">
      <c r="D60" s="3" t="s">
        <v>112</v>
      </c>
      <c r="E60" s="7"/>
      <c r="F60" s="7">
        <v>16</v>
      </c>
      <c r="G60" s="7">
        <v>6.1</v>
      </c>
      <c r="H60" s="7">
        <v>48</v>
      </c>
      <c r="I60" s="7">
        <v>4</v>
      </c>
      <c r="J60" s="7">
        <v>12</v>
      </c>
      <c r="K60" s="10">
        <v>256</v>
      </c>
      <c r="L60" s="7" t="s">
        <v>192</v>
      </c>
      <c r="M60" s="31">
        <v>6</v>
      </c>
      <c r="N60" s="7">
        <v>6</v>
      </c>
      <c r="O60" s="7">
        <v>206</v>
      </c>
      <c r="P60" s="7">
        <v>14.75</v>
      </c>
      <c r="Q60" s="7">
        <v>7.15</v>
      </c>
      <c r="R60" s="7">
        <v>0.78500000000000003</v>
      </c>
      <c r="S60" s="7">
        <v>3200</v>
      </c>
      <c r="T60" s="7">
        <v>5</v>
      </c>
      <c r="U60" s="6">
        <v>155</v>
      </c>
      <c r="V60"/>
    </row>
    <row r="61" spans="4:22" ht="16.5" customHeight="1" x14ac:dyDescent="0.25">
      <c r="D61" s="3" t="s">
        <v>113</v>
      </c>
      <c r="E61" s="7"/>
      <c r="F61" s="7">
        <v>16</v>
      </c>
      <c r="G61" s="7">
        <v>6.1</v>
      </c>
      <c r="H61" s="7">
        <v>48</v>
      </c>
      <c r="I61" s="7">
        <v>4</v>
      </c>
      <c r="J61" s="7">
        <v>12</v>
      </c>
      <c r="K61" s="10">
        <v>512</v>
      </c>
      <c r="L61" s="7" t="s">
        <v>192</v>
      </c>
      <c r="M61" s="31">
        <v>6</v>
      </c>
      <c r="N61" s="7">
        <v>6</v>
      </c>
      <c r="O61" s="7">
        <v>206</v>
      </c>
      <c r="P61" s="7">
        <v>14.75</v>
      </c>
      <c r="Q61" s="7">
        <v>7.15</v>
      </c>
      <c r="R61" s="7">
        <v>0.78500000000000003</v>
      </c>
      <c r="S61" s="7">
        <v>3200</v>
      </c>
      <c r="T61" s="7">
        <v>5</v>
      </c>
      <c r="U61" s="6">
        <v>156</v>
      </c>
      <c r="V61"/>
    </row>
    <row r="62" spans="4:22" ht="16.5" customHeight="1" x14ac:dyDescent="0.25">
      <c r="D62" s="3" t="s">
        <v>114</v>
      </c>
      <c r="E62" s="7"/>
      <c r="F62" s="7">
        <v>16</v>
      </c>
      <c r="G62" s="7">
        <v>6.7</v>
      </c>
      <c r="H62" s="7">
        <v>48</v>
      </c>
      <c r="I62" s="7">
        <v>4</v>
      </c>
      <c r="J62" s="7">
        <v>12</v>
      </c>
      <c r="K62" s="10">
        <v>128</v>
      </c>
      <c r="L62" s="7" t="s">
        <v>192</v>
      </c>
      <c r="M62" s="31">
        <v>6</v>
      </c>
      <c r="N62" s="7">
        <v>6</v>
      </c>
      <c r="O62" s="7">
        <v>240</v>
      </c>
      <c r="P62" s="7">
        <v>16</v>
      </c>
      <c r="Q62" s="7">
        <v>7.76</v>
      </c>
      <c r="R62" s="7">
        <v>0.78500000000000003</v>
      </c>
      <c r="S62" s="7">
        <v>4323</v>
      </c>
      <c r="T62" s="7">
        <v>5</v>
      </c>
      <c r="U62" s="6">
        <v>157</v>
      </c>
      <c r="V62"/>
    </row>
    <row r="63" spans="4:22" ht="16.5" customHeight="1" x14ac:dyDescent="0.25">
      <c r="D63" s="3" t="s">
        <v>115</v>
      </c>
      <c r="E63" s="7"/>
      <c r="F63" s="7">
        <v>16</v>
      </c>
      <c r="G63" s="7">
        <v>6.7</v>
      </c>
      <c r="H63" s="7">
        <v>48</v>
      </c>
      <c r="I63" s="7">
        <v>4</v>
      </c>
      <c r="J63" s="7">
        <v>12</v>
      </c>
      <c r="K63" s="10">
        <v>1024</v>
      </c>
      <c r="L63" s="7" t="s">
        <v>192</v>
      </c>
      <c r="M63" s="31">
        <v>6</v>
      </c>
      <c r="N63" s="7">
        <v>6</v>
      </c>
      <c r="O63" s="7">
        <v>240</v>
      </c>
      <c r="P63" s="7">
        <v>16</v>
      </c>
      <c r="Q63" s="7">
        <v>7.76</v>
      </c>
      <c r="R63" s="7">
        <v>0.78500000000000003</v>
      </c>
      <c r="S63" s="7">
        <v>4323</v>
      </c>
      <c r="T63" s="7">
        <v>5</v>
      </c>
      <c r="U63" s="6">
        <v>158</v>
      </c>
      <c r="V63"/>
    </row>
    <row r="64" spans="4:22" ht="16.5" customHeight="1" x14ac:dyDescent="0.25">
      <c r="D64" s="3" t="s">
        <v>116</v>
      </c>
      <c r="E64" s="7"/>
      <c r="F64" s="7">
        <v>16</v>
      </c>
      <c r="G64" s="7">
        <v>6.7</v>
      </c>
      <c r="H64" s="7">
        <v>48</v>
      </c>
      <c r="I64" s="7">
        <v>4</v>
      </c>
      <c r="J64" s="7">
        <v>12</v>
      </c>
      <c r="K64" s="10">
        <v>256</v>
      </c>
      <c r="L64" s="7" t="s">
        <v>192</v>
      </c>
      <c r="M64" s="31">
        <v>6</v>
      </c>
      <c r="N64" s="7">
        <v>6</v>
      </c>
      <c r="O64" s="7">
        <v>240</v>
      </c>
      <c r="P64" s="7">
        <v>16</v>
      </c>
      <c r="Q64" s="7">
        <v>7.76</v>
      </c>
      <c r="R64" s="7">
        <v>0.78500000000000003</v>
      </c>
      <c r="S64" s="7">
        <v>4323</v>
      </c>
      <c r="T64" s="7">
        <v>5</v>
      </c>
      <c r="U64" s="6">
        <v>159</v>
      </c>
      <c r="V64"/>
    </row>
    <row r="65" spans="4:22" ht="16.5" customHeight="1" x14ac:dyDescent="0.25">
      <c r="D65" s="3" t="s">
        <v>117</v>
      </c>
      <c r="E65" s="7"/>
      <c r="F65" s="7">
        <v>16</v>
      </c>
      <c r="G65" s="7">
        <v>6.7</v>
      </c>
      <c r="H65" s="7">
        <v>48</v>
      </c>
      <c r="I65" s="7">
        <v>4</v>
      </c>
      <c r="J65" s="7">
        <v>12</v>
      </c>
      <c r="K65" s="10">
        <v>512</v>
      </c>
      <c r="L65" s="7" t="s">
        <v>192</v>
      </c>
      <c r="M65" s="31">
        <v>6</v>
      </c>
      <c r="N65" s="7">
        <v>6</v>
      </c>
      <c r="O65" s="7">
        <v>240</v>
      </c>
      <c r="P65" s="7">
        <v>16</v>
      </c>
      <c r="Q65" s="7">
        <v>7.76</v>
      </c>
      <c r="R65" s="7">
        <v>0.78500000000000003</v>
      </c>
      <c r="S65" s="7">
        <v>4323</v>
      </c>
      <c r="T65" s="7">
        <v>5</v>
      </c>
      <c r="U65" s="6">
        <v>160</v>
      </c>
      <c r="V65"/>
    </row>
    <row r="66" spans="4:22" ht="16.5" customHeight="1" x14ac:dyDescent="0.25">
      <c r="D66" s="3" t="s">
        <v>53</v>
      </c>
      <c r="E66" s="7"/>
      <c r="F66" s="7">
        <v>12</v>
      </c>
      <c r="G66" s="7">
        <v>6.1</v>
      </c>
      <c r="H66" s="7">
        <v>12</v>
      </c>
      <c r="I66" s="7">
        <v>1</v>
      </c>
      <c r="J66" s="7">
        <v>12</v>
      </c>
      <c r="K66" s="8">
        <v>64</v>
      </c>
      <c r="L66" s="7" t="s">
        <v>192</v>
      </c>
      <c r="M66" s="31">
        <v>6</v>
      </c>
      <c r="N66" s="7">
        <v>3</v>
      </c>
      <c r="O66" s="7">
        <v>164</v>
      </c>
      <c r="P66" s="7">
        <v>15.09</v>
      </c>
      <c r="Q66" s="7">
        <v>7.57</v>
      </c>
      <c r="R66" s="7">
        <v>0.83</v>
      </c>
      <c r="S66" s="7">
        <v>2942</v>
      </c>
      <c r="T66" s="7">
        <v>4.5</v>
      </c>
      <c r="U66" s="6">
        <v>164</v>
      </c>
      <c r="V66"/>
    </row>
    <row r="67" spans="4:22" ht="16.5" customHeight="1" x14ac:dyDescent="0.25">
      <c r="D67" s="3" t="s">
        <v>64</v>
      </c>
      <c r="E67" s="7"/>
      <c r="F67" s="7">
        <v>12</v>
      </c>
      <c r="G67" s="7">
        <v>6.1</v>
      </c>
      <c r="H67" s="7">
        <v>12</v>
      </c>
      <c r="I67" s="7">
        <v>1</v>
      </c>
      <c r="J67" s="7">
        <v>12</v>
      </c>
      <c r="K67" s="8">
        <v>64</v>
      </c>
      <c r="L67" s="7" t="s">
        <v>192</v>
      </c>
      <c r="M67" s="31">
        <v>6</v>
      </c>
      <c r="N67" s="7">
        <v>3</v>
      </c>
      <c r="O67" s="7">
        <v>164</v>
      </c>
      <c r="P67" s="7">
        <v>15.09</v>
      </c>
      <c r="Q67" s="7">
        <v>7.57</v>
      </c>
      <c r="R67" s="7">
        <v>0.83</v>
      </c>
      <c r="S67" s="7">
        <v>2942</v>
      </c>
      <c r="T67" s="7">
        <v>5</v>
      </c>
      <c r="U67" s="6">
        <v>165</v>
      </c>
      <c r="V67"/>
    </row>
    <row r="68" spans="4:22" ht="16.5" customHeight="1" x14ac:dyDescent="0.25">
      <c r="D68" s="3" t="s">
        <v>215</v>
      </c>
      <c r="E68" s="7"/>
      <c r="F68" s="7">
        <v>12</v>
      </c>
      <c r="G68" s="7" t="s">
        <v>221</v>
      </c>
      <c r="H68" s="7">
        <v>13</v>
      </c>
      <c r="I68" s="7">
        <v>2</v>
      </c>
      <c r="J68" s="7">
        <v>5</v>
      </c>
      <c r="K68" s="7">
        <v>64</v>
      </c>
      <c r="L68" s="7" t="s">
        <v>192</v>
      </c>
      <c r="M68" s="31" t="s">
        <v>292</v>
      </c>
      <c r="N68" s="7">
        <v>4</v>
      </c>
      <c r="O68" s="7">
        <v>183</v>
      </c>
      <c r="P68" s="7">
        <v>16.399999999999999</v>
      </c>
      <c r="Q68" s="7">
        <v>7.55</v>
      </c>
      <c r="R68" s="7">
        <v>0.82</v>
      </c>
      <c r="S68" s="7" t="s">
        <v>222</v>
      </c>
      <c r="T68" s="7">
        <v>4</v>
      </c>
      <c r="U68" s="6">
        <v>88</v>
      </c>
      <c r="V68"/>
    </row>
    <row r="69" spans="4:22" ht="16.5" customHeight="1" x14ac:dyDescent="0.25">
      <c r="D69" s="3" t="s">
        <v>230</v>
      </c>
      <c r="E69" s="7"/>
      <c r="F69" s="7">
        <v>13</v>
      </c>
      <c r="G69" s="7" t="s">
        <v>232</v>
      </c>
      <c r="H69" s="7">
        <v>50</v>
      </c>
      <c r="I69" s="7">
        <v>2</v>
      </c>
      <c r="J69" s="7">
        <v>8</v>
      </c>
      <c r="K69" s="7">
        <v>128</v>
      </c>
      <c r="L69" s="7" t="s">
        <v>192</v>
      </c>
      <c r="M69" s="31" t="s">
        <v>231</v>
      </c>
      <c r="N69" s="7">
        <v>8</v>
      </c>
      <c r="O69" s="7">
        <v>183</v>
      </c>
      <c r="P69" s="7">
        <v>16.3</v>
      </c>
      <c r="Q69" s="7">
        <v>7.47</v>
      </c>
      <c r="R69" s="7">
        <v>0.82</v>
      </c>
      <c r="S69" s="7" t="s">
        <v>222</v>
      </c>
      <c r="T69" s="7">
        <v>5</v>
      </c>
      <c r="U69" s="6">
        <v>43</v>
      </c>
      <c r="V69"/>
    </row>
    <row r="70" spans="4:22" ht="16.5" customHeight="1" x14ac:dyDescent="0.25">
      <c r="D70" s="3" t="s">
        <v>214</v>
      </c>
      <c r="E70" s="7"/>
      <c r="F70" s="7">
        <v>12</v>
      </c>
      <c r="G70" s="7" t="s">
        <v>225</v>
      </c>
      <c r="H70" s="7">
        <v>50</v>
      </c>
      <c r="I70" s="7">
        <v>3</v>
      </c>
      <c r="J70" s="7">
        <v>16</v>
      </c>
      <c r="K70" s="7">
        <v>128</v>
      </c>
      <c r="L70" s="7" t="s">
        <v>192</v>
      </c>
      <c r="M70" s="31" t="s">
        <v>226</v>
      </c>
      <c r="N70" s="7">
        <v>8</v>
      </c>
      <c r="O70" s="7">
        <v>188</v>
      </c>
      <c r="P70" s="7">
        <v>16.43</v>
      </c>
      <c r="Q70" s="7">
        <v>7.61</v>
      </c>
      <c r="R70" s="7">
        <v>0.83</v>
      </c>
      <c r="S70" s="7" t="s">
        <v>227</v>
      </c>
      <c r="T70" s="7">
        <v>4.5</v>
      </c>
      <c r="U70" s="6">
        <v>91</v>
      </c>
      <c r="V70"/>
    </row>
    <row r="71" spans="4:22" ht="16.5" customHeight="1" x14ac:dyDescent="0.25">
      <c r="D71" s="3" t="s">
        <v>219</v>
      </c>
      <c r="E71" s="7"/>
      <c r="F71" s="7">
        <v>12</v>
      </c>
      <c r="G71" s="7">
        <v>6.67</v>
      </c>
      <c r="H71" s="7">
        <v>48</v>
      </c>
      <c r="I71" s="7">
        <v>3</v>
      </c>
      <c r="J71" s="7">
        <v>16</v>
      </c>
      <c r="K71" s="7">
        <v>128</v>
      </c>
      <c r="L71" s="7" t="s">
        <v>192</v>
      </c>
      <c r="M71" s="31" t="s">
        <v>251</v>
      </c>
      <c r="N71" s="7">
        <v>4</v>
      </c>
      <c r="O71" s="7">
        <v>189</v>
      </c>
      <c r="P71" s="7">
        <v>16.600000000000001</v>
      </c>
      <c r="Q71" s="7">
        <v>7.62</v>
      </c>
      <c r="R71" s="7">
        <v>0.8</v>
      </c>
      <c r="S71" s="7" t="s">
        <v>229</v>
      </c>
      <c r="T71" s="7">
        <v>5</v>
      </c>
      <c r="U71" s="6">
        <v>120</v>
      </c>
      <c r="V71"/>
    </row>
    <row r="72" spans="4:22" ht="16.5" customHeight="1" x14ac:dyDescent="0.25">
      <c r="D72" s="3" t="s">
        <v>172</v>
      </c>
      <c r="E72" s="7"/>
      <c r="F72" s="7">
        <v>13</v>
      </c>
      <c r="G72" s="7" t="s">
        <v>242</v>
      </c>
      <c r="H72" s="7">
        <v>50</v>
      </c>
      <c r="I72" s="7">
        <v>3</v>
      </c>
      <c r="J72" s="7">
        <v>12</v>
      </c>
      <c r="K72" s="8">
        <v>128</v>
      </c>
      <c r="L72" s="7" t="s">
        <v>192</v>
      </c>
      <c r="M72" s="31" t="s">
        <v>178</v>
      </c>
      <c r="N72" s="7">
        <v>8</v>
      </c>
      <c r="O72" s="7">
        <v>167</v>
      </c>
      <c r="P72" s="7">
        <v>14.6</v>
      </c>
      <c r="Q72" s="7">
        <v>7.09</v>
      </c>
      <c r="R72" s="7">
        <v>0.76</v>
      </c>
      <c r="S72" s="7" t="s">
        <v>256</v>
      </c>
      <c r="T72" s="7">
        <v>5</v>
      </c>
      <c r="U72" s="6">
        <v>75</v>
      </c>
      <c r="V72"/>
    </row>
    <row r="73" spans="4:22" ht="16.5" customHeight="1" x14ac:dyDescent="0.25">
      <c r="D73" s="3" t="s">
        <v>173</v>
      </c>
      <c r="E73" s="7"/>
      <c r="F73" s="7">
        <v>13</v>
      </c>
      <c r="G73" s="7" t="s">
        <v>242</v>
      </c>
      <c r="H73" s="7">
        <v>50</v>
      </c>
      <c r="I73" s="7">
        <v>3</v>
      </c>
      <c r="J73" s="7">
        <v>12</v>
      </c>
      <c r="K73" s="8">
        <v>256</v>
      </c>
      <c r="L73" s="7" t="s">
        <v>192</v>
      </c>
      <c r="M73" s="31" t="s">
        <v>178</v>
      </c>
      <c r="N73" s="7">
        <v>8</v>
      </c>
      <c r="O73" s="7">
        <v>167</v>
      </c>
      <c r="P73" s="7">
        <v>14.6</v>
      </c>
      <c r="Q73" s="7">
        <v>7.09</v>
      </c>
      <c r="R73" s="7">
        <v>0.76</v>
      </c>
      <c r="S73" s="7" t="s">
        <v>256</v>
      </c>
      <c r="T73" s="7">
        <v>5</v>
      </c>
      <c r="U73" s="6">
        <v>76</v>
      </c>
      <c r="V73"/>
    </row>
    <row r="74" spans="4:22" ht="16.5" customHeight="1" x14ac:dyDescent="0.25">
      <c r="D74" s="3" t="s">
        <v>174</v>
      </c>
      <c r="E74" s="7"/>
      <c r="F74" s="7">
        <v>13</v>
      </c>
      <c r="G74" s="7" t="s">
        <v>243</v>
      </c>
      <c r="H74" s="7">
        <v>50</v>
      </c>
      <c r="I74" s="7">
        <v>3</v>
      </c>
      <c r="J74" s="7">
        <v>12</v>
      </c>
      <c r="K74" s="8">
        <v>256</v>
      </c>
      <c r="L74" s="7" t="s">
        <v>192</v>
      </c>
      <c r="M74" s="31" t="s">
        <v>178</v>
      </c>
      <c r="N74" s="7">
        <v>8</v>
      </c>
      <c r="O74" s="7">
        <v>195</v>
      </c>
      <c r="P74" s="7">
        <v>15.8</v>
      </c>
      <c r="Q74" s="7">
        <v>7.62</v>
      </c>
      <c r="R74" s="7">
        <v>0.76</v>
      </c>
      <c r="S74" s="7" t="s">
        <v>257</v>
      </c>
      <c r="T74" s="7">
        <v>5</v>
      </c>
      <c r="U74" s="6">
        <v>77</v>
      </c>
      <c r="V74"/>
    </row>
    <row r="75" spans="4:22" ht="16.5" customHeight="1" x14ac:dyDescent="0.25">
      <c r="D75" s="3" t="s">
        <v>175</v>
      </c>
      <c r="E75" s="7"/>
      <c r="F75" s="7">
        <v>13</v>
      </c>
      <c r="G75" s="7" t="s">
        <v>243</v>
      </c>
      <c r="H75" s="7">
        <v>50</v>
      </c>
      <c r="I75" s="7">
        <v>3</v>
      </c>
      <c r="J75" s="7">
        <v>12</v>
      </c>
      <c r="K75" s="8">
        <v>512</v>
      </c>
      <c r="L75" s="7" t="s">
        <v>192</v>
      </c>
      <c r="M75" s="31" t="s">
        <v>178</v>
      </c>
      <c r="N75" s="7">
        <v>12</v>
      </c>
      <c r="O75" s="7">
        <v>195</v>
      </c>
      <c r="P75" s="7">
        <v>15.8</v>
      </c>
      <c r="Q75" s="7">
        <v>7.62</v>
      </c>
      <c r="R75" s="7">
        <v>0.76</v>
      </c>
      <c r="S75" s="7" t="s">
        <v>257</v>
      </c>
      <c r="T75" s="7">
        <v>5</v>
      </c>
      <c r="U75" s="6">
        <v>78</v>
      </c>
      <c r="V75"/>
    </row>
    <row r="76" spans="4:22" ht="16.5" customHeight="1" x14ac:dyDescent="0.25">
      <c r="D76" s="3" t="s">
        <v>176</v>
      </c>
      <c r="E76" s="7"/>
      <c r="F76" s="7">
        <v>13</v>
      </c>
      <c r="G76" s="7" t="s">
        <v>244</v>
      </c>
      <c r="H76" s="7">
        <v>200</v>
      </c>
      <c r="I76" s="7">
        <v>5</v>
      </c>
      <c r="J76" s="7">
        <v>12</v>
      </c>
      <c r="K76" s="8">
        <v>256</v>
      </c>
      <c r="L76" s="7" t="s">
        <v>192</v>
      </c>
      <c r="M76" s="31" t="s">
        <v>178</v>
      </c>
      <c r="N76" s="7">
        <v>8</v>
      </c>
      <c r="O76" s="7">
        <v>234</v>
      </c>
      <c r="P76" s="7">
        <v>16.3</v>
      </c>
      <c r="Q76" s="7">
        <v>7.81</v>
      </c>
      <c r="R76" s="7">
        <v>0.89</v>
      </c>
      <c r="S76" s="7" t="s">
        <v>258</v>
      </c>
      <c r="T76" s="7">
        <v>5</v>
      </c>
      <c r="U76" s="6">
        <v>79</v>
      </c>
      <c r="V76"/>
    </row>
    <row r="77" spans="4:22" ht="16.5" customHeight="1" x14ac:dyDescent="0.25">
      <c r="D77" s="3" t="s">
        <v>177</v>
      </c>
      <c r="E77" s="7"/>
      <c r="F77" s="7">
        <v>13</v>
      </c>
      <c r="G77" s="7" t="s">
        <v>244</v>
      </c>
      <c r="H77" s="7">
        <v>200</v>
      </c>
      <c r="I77" s="7">
        <v>5</v>
      </c>
      <c r="J77" s="7">
        <v>12</v>
      </c>
      <c r="K77" s="8">
        <v>512</v>
      </c>
      <c r="L77" s="7" t="s">
        <v>192</v>
      </c>
      <c r="M77" s="31" t="s">
        <v>178</v>
      </c>
      <c r="N77" s="7">
        <v>12</v>
      </c>
      <c r="O77" s="7">
        <v>234</v>
      </c>
      <c r="P77" s="7">
        <v>16.3</v>
      </c>
      <c r="Q77" s="7">
        <v>7.81</v>
      </c>
      <c r="R77" s="7">
        <v>0.89</v>
      </c>
      <c r="S77" s="7" t="s">
        <v>258</v>
      </c>
      <c r="T77" s="7">
        <v>5</v>
      </c>
      <c r="U77" s="6">
        <v>80</v>
      </c>
      <c r="V77"/>
    </row>
    <row r="78" spans="4:22" ht="16.5" customHeight="1" x14ac:dyDescent="0.25">
      <c r="D78" s="3" t="s">
        <v>31</v>
      </c>
      <c r="E78" s="7"/>
      <c r="F78" s="7">
        <v>11</v>
      </c>
      <c r="G78" s="7">
        <v>6.7</v>
      </c>
      <c r="H78" s="7">
        <v>12</v>
      </c>
      <c r="I78" s="7">
        <v>2</v>
      </c>
      <c r="J78" s="7">
        <v>10</v>
      </c>
      <c r="K78" s="8">
        <v>256</v>
      </c>
      <c r="L78" s="7" t="s">
        <v>192</v>
      </c>
      <c r="M78" s="31">
        <v>8</v>
      </c>
      <c r="N78" s="7">
        <v>8</v>
      </c>
      <c r="O78" s="7">
        <v>183</v>
      </c>
      <c r="P78" s="9">
        <v>86.4</v>
      </c>
      <c r="Q78" s="7">
        <v>7.22</v>
      </c>
      <c r="R78" s="7">
        <v>0.69</v>
      </c>
      <c r="S78" s="7">
        <v>3300</v>
      </c>
      <c r="T78" s="7">
        <v>5</v>
      </c>
      <c r="U78" s="6">
        <v>81</v>
      </c>
      <c r="V78"/>
    </row>
    <row r="79" spans="4:22" ht="16.5" customHeight="1" x14ac:dyDescent="0.25">
      <c r="D79" s="3" t="s">
        <v>130</v>
      </c>
      <c r="E79" s="7"/>
      <c r="F79" s="7">
        <v>12</v>
      </c>
      <c r="G79" s="7" t="s">
        <v>156</v>
      </c>
      <c r="H79" s="7">
        <v>108</v>
      </c>
      <c r="I79" s="7">
        <v>3</v>
      </c>
      <c r="J79" s="7">
        <v>32</v>
      </c>
      <c r="K79" s="10">
        <v>128</v>
      </c>
      <c r="L79" s="7" t="s">
        <v>192</v>
      </c>
      <c r="M79" s="31" t="s">
        <v>157</v>
      </c>
      <c r="N79" s="7">
        <v>8</v>
      </c>
      <c r="O79" s="7">
        <v>173</v>
      </c>
      <c r="P79" s="7">
        <v>15.9</v>
      </c>
      <c r="Q79" s="7">
        <v>7.33</v>
      </c>
      <c r="R79" s="7">
        <v>0.73</v>
      </c>
      <c r="S79" s="7" t="s">
        <v>259</v>
      </c>
      <c r="T79" s="7">
        <v>5</v>
      </c>
      <c r="U79" s="6">
        <v>98</v>
      </c>
      <c r="V79"/>
    </row>
    <row r="80" spans="4:22" ht="16.5" hidden="1" customHeight="1" x14ac:dyDescent="0.25">
      <c r="D80" s="3" t="s">
        <v>128</v>
      </c>
      <c r="E80" s="7"/>
      <c r="F80" s="7">
        <v>12</v>
      </c>
      <c r="G80" s="7">
        <v>6.5</v>
      </c>
      <c r="H80" s="7">
        <v>13</v>
      </c>
      <c r="I80" s="7">
        <v>2</v>
      </c>
      <c r="J80" s="7">
        <v>5</v>
      </c>
      <c r="K80" s="10">
        <v>32</v>
      </c>
      <c r="L80" s="7">
        <v>128</v>
      </c>
      <c r="M80" s="31">
        <v>8</v>
      </c>
      <c r="N80" s="7">
        <v>3</v>
      </c>
      <c r="O80" s="7">
        <v>188</v>
      </c>
      <c r="P80" s="7">
        <v>16.399999999999999</v>
      </c>
      <c r="Q80" s="7">
        <v>7.59</v>
      </c>
      <c r="R80" s="7">
        <v>0.91</v>
      </c>
      <c r="S80" s="7">
        <v>5000</v>
      </c>
      <c r="T80" s="7">
        <v>4</v>
      </c>
      <c r="U80" s="6">
        <v>53</v>
      </c>
      <c r="V80"/>
    </row>
    <row r="81" spans="4:22" ht="16.5" hidden="1" customHeight="1" x14ac:dyDescent="0.25">
      <c r="D81" s="3" t="s">
        <v>39</v>
      </c>
      <c r="E81" s="7"/>
      <c r="F81" s="7">
        <v>9</v>
      </c>
      <c r="G81" s="7">
        <v>6.09</v>
      </c>
      <c r="H81" s="7">
        <v>13</v>
      </c>
      <c r="I81" s="7">
        <v>2</v>
      </c>
      <c r="J81" s="7">
        <v>8</v>
      </c>
      <c r="K81" s="10">
        <v>32</v>
      </c>
      <c r="L81" s="7">
        <v>128</v>
      </c>
      <c r="M81" s="31">
        <v>8</v>
      </c>
      <c r="N81" s="7">
        <v>2</v>
      </c>
      <c r="O81" s="7">
        <v>155</v>
      </c>
      <c r="P81" s="7">
        <v>15.6</v>
      </c>
      <c r="Q81" s="7">
        <v>7.26</v>
      </c>
      <c r="R81" s="7">
        <v>0.8</v>
      </c>
      <c r="S81" s="7">
        <v>3200</v>
      </c>
      <c r="T81" s="7">
        <v>4</v>
      </c>
      <c r="U81" s="6">
        <v>122</v>
      </c>
      <c r="V81"/>
    </row>
    <row r="82" spans="4:22" ht="16.5" hidden="1" customHeight="1" x14ac:dyDescent="0.25">
      <c r="D82" s="3" t="s">
        <v>18</v>
      </c>
      <c r="E82" s="7"/>
      <c r="F82" s="7">
        <v>11</v>
      </c>
      <c r="G82" s="7">
        <v>6.5</v>
      </c>
      <c r="H82" s="7">
        <v>13</v>
      </c>
      <c r="I82" s="7">
        <v>2</v>
      </c>
      <c r="J82" s="7">
        <v>5</v>
      </c>
      <c r="K82" s="10">
        <v>32</v>
      </c>
      <c r="L82" s="7">
        <v>256</v>
      </c>
      <c r="M82" s="31">
        <v>8</v>
      </c>
      <c r="N82" s="7">
        <v>2</v>
      </c>
      <c r="O82" s="7">
        <v>184</v>
      </c>
      <c r="P82" s="7">
        <v>16.399999999999999</v>
      </c>
      <c r="Q82" s="7">
        <v>7.55</v>
      </c>
      <c r="R82" s="7">
        <v>0.85</v>
      </c>
      <c r="S82" s="7">
        <v>4000</v>
      </c>
      <c r="T82" s="7">
        <v>4</v>
      </c>
      <c r="U82" s="6">
        <v>32</v>
      </c>
      <c r="V82"/>
    </row>
    <row r="83" spans="4:22" ht="16.5" hidden="1" customHeight="1" x14ac:dyDescent="0.25">
      <c r="D83" s="3" t="s">
        <v>46</v>
      </c>
      <c r="E83" s="7"/>
      <c r="F83" s="7">
        <v>11</v>
      </c>
      <c r="G83" s="7">
        <v>6.82</v>
      </c>
      <c r="H83" s="7">
        <v>48</v>
      </c>
      <c r="I83" s="7">
        <v>3</v>
      </c>
      <c r="J83" s="7">
        <v>8</v>
      </c>
      <c r="K83" s="10">
        <v>128</v>
      </c>
      <c r="L83" s="7">
        <v>256</v>
      </c>
      <c r="M83" s="31">
        <v>8</v>
      </c>
      <c r="N83" s="7">
        <v>3</v>
      </c>
      <c r="O83" s="7">
        <v>210</v>
      </c>
      <c r="P83" s="7">
        <v>17.3</v>
      </c>
      <c r="Q83" s="7">
        <v>7.81</v>
      </c>
      <c r="R83" s="7">
        <v>0.89</v>
      </c>
      <c r="S83" s="7">
        <v>5000</v>
      </c>
      <c r="T83" s="7">
        <v>4</v>
      </c>
      <c r="U83" s="6">
        <v>125</v>
      </c>
      <c r="V83"/>
    </row>
    <row r="84" spans="4:22" ht="16.5" hidden="1" customHeight="1" x14ac:dyDescent="0.25">
      <c r="D84" s="3" t="s">
        <v>134</v>
      </c>
      <c r="E84" s="7"/>
      <c r="F84" s="7">
        <v>11</v>
      </c>
      <c r="G84" s="7" t="s">
        <v>159</v>
      </c>
      <c r="H84" s="7" t="s">
        <v>160</v>
      </c>
      <c r="I84" s="7">
        <v>3</v>
      </c>
      <c r="J84" s="7">
        <v>5</v>
      </c>
      <c r="K84" s="8">
        <v>128</v>
      </c>
      <c r="L84" s="7">
        <v>256</v>
      </c>
      <c r="M84" s="31" t="s">
        <v>161</v>
      </c>
      <c r="N84" s="7">
        <v>3</v>
      </c>
      <c r="O84" s="7">
        <v>215</v>
      </c>
      <c r="P84" s="7">
        <v>16.8</v>
      </c>
      <c r="Q84" s="7">
        <v>7.75</v>
      </c>
      <c r="R84" s="7">
        <v>0.94</v>
      </c>
      <c r="S84" s="7">
        <v>6000</v>
      </c>
      <c r="T84" s="7">
        <v>5</v>
      </c>
      <c r="U84" s="6">
        <v>126</v>
      </c>
      <c r="V84"/>
    </row>
    <row r="85" spans="4:22" ht="16.5" hidden="1" customHeight="1" x14ac:dyDescent="0.25">
      <c r="D85" s="3" t="s">
        <v>45</v>
      </c>
      <c r="E85" s="7"/>
      <c r="F85" s="7">
        <v>11</v>
      </c>
      <c r="G85" s="11">
        <v>6.5</v>
      </c>
      <c r="H85" s="7">
        <v>48</v>
      </c>
      <c r="I85" s="7">
        <v>3</v>
      </c>
      <c r="J85" s="7">
        <v>8</v>
      </c>
      <c r="K85" s="10">
        <v>32</v>
      </c>
      <c r="L85" s="7">
        <v>256</v>
      </c>
      <c r="M85" s="31">
        <v>8</v>
      </c>
      <c r="N85" s="7">
        <v>2</v>
      </c>
      <c r="O85" s="7">
        <v>198</v>
      </c>
      <c r="P85" s="7">
        <v>16.5</v>
      </c>
      <c r="Q85" s="7">
        <v>7.56</v>
      </c>
      <c r="R85" s="7">
        <v>0.91</v>
      </c>
      <c r="S85" s="7">
        <v>5000</v>
      </c>
      <c r="T85" s="7">
        <v>4</v>
      </c>
      <c r="U85" s="6">
        <v>34</v>
      </c>
      <c r="V85"/>
    </row>
    <row r="86" spans="4:22" ht="16.5" hidden="1" customHeight="1" x14ac:dyDescent="0.25">
      <c r="D86" s="3" t="s">
        <v>47</v>
      </c>
      <c r="E86" s="7"/>
      <c r="F86" s="7">
        <v>11</v>
      </c>
      <c r="G86" s="7">
        <v>6.5</v>
      </c>
      <c r="H86" s="7">
        <v>13</v>
      </c>
      <c r="I86" s="7">
        <v>3</v>
      </c>
      <c r="J86" s="7">
        <v>5</v>
      </c>
      <c r="K86" s="10">
        <v>64</v>
      </c>
      <c r="L86" s="7">
        <v>256</v>
      </c>
      <c r="M86" s="31">
        <v>8</v>
      </c>
      <c r="N86" s="7">
        <v>4</v>
      </c>
      <c r="O86" s="7">
        <v>200</v>
      </c>
      <c r="P86" s="7">
        <v>16.399999999999999</v>
      </c>
      <c r="Q86" s="7">
        <v>7.6</v>
      </c>
      <c r="R86" s="7">
        <v>0.91</v>
      </c>
      <c r="S86" s="7">
        <v>5000</v>
      </c>
      <c r="T86" s="7">
        <v>4</v>
      </c>
      <c r="U86" s="6">
        <v>47</v>
      </c>
      <c r="V86"/>
    </row>
    <row r="87" spans="4:22" ht="16.5" hidden="1" customHeight="1" x14ac:dyDescent="0.25">
      <c r="D87" s="3" t="s">
        <v>19</v>
      </c>
      <c r="E87" s="7"/>
      <c r="F87" s="7">
        <v>11</v>
      </c>
      <c r="G87" s="7">
        <v>6.7</v>
      </c>
      <c r="H87" s="7">
        <v>108</v>
      </c>
      <c r="I87" s="7">
        <v>3</v>
      </c>
      <c r="J87" s="7">
        <v>32</v>
      </c>
      <c r="K87" s="8">
        <v>128</v>
      </c>
      <c r="L87" s="7">
        <v>256</v>
      </c>
      <c r="M87" s="31">
        <v>8</v>
      </c>
      <c r="N87" s="7">
        <v>6</v>
      </c>
      <c r="O87" s="7">
        <v>185</v>
      </c>
      <c r="P87" s="7">
        <v>16.5</v>
      </c>
      <c r="Q87" s="7">
        <v>7.6</v>
      </c>
      <c r="R87" s="7">
        <v>0.83</v>
      </c>
      <c r="S87" s="7">
        <v>5000</v>
      </c>
      <c r="T87" s="7">
        <v>5</v>
      </c>
      <c r="U87" s="6">
        <v>36</v>
      </c>
      <c r="V87"/>
    </row>
    <row r="88" spans="4:22" ht="16.5" hidden="1" customHeight="1" x14ac:dyDescent="0.25">
      <c r="D88" s="3" t="s">
        <v>162</v>
      </c>
      <c r="E88" s="7"/>
      <c r="F88" s="7">
        <v>12</v>
      </c>
      <c r="G88" s="11" t="s">
        <v>233</v>
      </c>
      <c r="H88" s="7">
        <v>50</v>
      </c>
      <c r="I88" s="7">
        <v>2</v>
      </c>
      <c r="J88" s="7">
        <v>5</v>
      </c>
      <c r="K88" s="7">
        <v>64</v>
      </c>
      <c r="L88" s="7">
        <v>256</v>
      </c>
      <c r="M88" s="31" t="s">
        <v>246</v>
      </c>
      <c r="N88" s="7">
        <v>4</v>
      </c>
      <c r="O88" s="7">
        <v>189</v>
      </c>
      <c r="P88" s="7">
        <v>16.399999999999999</v>
      </c>
      <c r="Q88" s="7">
        <v>7.56</v>
      </c>
      <c r="R88" s="7">
        <v>0.83</v>
      </c>
      <c r="S88" s="7">
        <v>5000</v>
      </c>
      <c r="T88" s="7">
        <v>4</v>
      </c>
      <c r="U88" s="6">
        <v>1</v>
      </c>
      <c r="V88"/>
    </row>
    <row r="89" spans="4:22" ht="16.5" hidden="1" customHeight="1" x14ac:dyDescent="0.25">
      <c r="D89" s="3" t="s">
        <v>124</v>
      </c>
      <c r="E89" s="7"/>
      <c r="F89" s="7">
        <v>12</v>
      </c>
      <c r="G89" s="7">
        <v>6.5</v>
      </c>
      <c r="H89" s="7">
        <v>50</v>
      </c>
      <c r="I89" s="7">
        <v>2</v>
      </c>
      <c r="J89" s="7">
        <v>5</v>
      </c>
      <c r="K89" s="10">
        <v>64</v>
      </c>
      <c r="L89" s="7">
        <v>256</v>
      </c>
      <c r="M89" s="31">
        <v>8</v>
      </c>
      <c r="N89" s="7">
        <v>3</v>
      </c>
      <c r="O89" s="7">
        <v>192</v>
      </c>
      <c r="P89" s="7">
        <v>16.399999999999999</v>
      </c>
      <c r="Q89" s="7">
        <v>7.63</v>
      </c>
      <c r="R89" s="7">
        <v>0.91</v>
      </c>
      <c r="S89" s="7">
        <v>5000</v>
      </c>
      <c r="T89" s="7">
        <v>4</v>
      </c>
      <c r="U89" s="6">
        <v>52</v>
      </c>
      <c r="V89"/>
    </row>
    <row r="90" spans="4:22" ht="16.5" hidden="1" customHeight="1" x14ac:dyDescent="0.25">
      <c r="D90" s="3" t="s">
        <v>63</v>
      </c>
      <c r="E90" s="7"/>
      <c r="F90" s="7">
        <v>11</v>
      </c>
      <c r="G90" s="7">
        <v>6.5</v>
      </c>
      <c r="H90" s="7">
        <v>8</v>
      </c>
      <c r="I90" s="7">
        <v>2</v>
      </c>
      <c r="J90" s="7">
        <v>5</v>
      </c>
      <c r="K90" s="8">
        <v>32</v>
      </c>
      <c r="L90" s="7">
        <v>256</v>
      </c>
      <c r="M90" s="31">
        <v>8</v>
      </c>
      <c r="N90" s="7">
        <v>2</v>
      </c>
      <c r="O90" s="7">
        <v>211</v>
      </c>
      <c r="P90" s="7">
        <v>16.399999999999999</v>
      </c>
      <c r="Q90" s="7">
        <v>7.75</v>
      </c>
      <c r="R90" s="7">
        <v>0.91</v>
      </c>
      <c r="S90" s="7">
        <v>5000</v>
      </c>
      <c r="T90" s="7">
        <v>4</v>
      </c>
      <c r="U90" s="6">
        <v>50</v>
      </c>
      <c r="V90"/>
    </row>
    <row r="91" spans="4:22" ht="16.5" hidden="1" customHeight="1" x14ac:dyDescent="0.25">
      <c r="D91" s="3" t="s">
        <v>68</v>
      </c>
      <c r="E91" s="7"/>
      <c r="F91" s="7">
        <v>11</v>
      </c>
      <c r="G91" s="7">
        <v>6</v>
      </c>
      <c r="H91" s="7">
        <v>5</v>
      </c>
      <c r="I91" s="7">
        <v>1</v>
      </c>
      <c r="J91" s="7">
        <v>2</v>
      </c>
      <c r="K91" s="10">
        <v>32</v>
      </c>
      <c r="L91" s="7">
        <v>256</v>
      </c>
      <c r="M91" s="31">
        <v>8</v>
      </c>
      <c r="N91" s="7">
        <v>1</v>
      </c>
      <c r="O91" s="7">
        <v>173</v>
      </c>
      <c r="P91" s="7">
        <v>15.9</v>
      </c>
      <c r="Q91" s="7">
        <v>7.75</v>
      </c>
      <c r="R91" s="7">
        <v>0.96</v>
      </c>
      <c r="S91" s="7">
        <v>3000</v>
      </c>
      <c r="T91" s="7">
        <v>4</v>
      </c>
      <c r="U91" s="6">
        <v>121</v>
      </c>
      <c r="V91"/>
    </row>
    <row r="92" spans="4:22" ht="16.5" hidden="1" customHeight="1" x14ac:dyDescent="0.25">
      <c r="D92" s="3" t="s">
        <v>40</v>
      </c>
      <c r="E92" s="7"/>
      <c r="F92" s="7">
        <v>10</v>
      </c>
      <c r="G92" s="7">
        <v>6.53</v>
      </c>
      <c r="H92" s="7">
        <v>13</v>
      </c>
      <c r="I92" s="7">
        <v>2</v>
      </c>
      <c r="J92" s="7">
        <v>5</v>
      </c>
      <c r="K92" s="10">
        <v>32</v>
      </c>
      <c r="L92" s="7">
        <v>256</v>
      </c>
      <c r="M92" s="31">
        <v>8</v>
      </c>
      <c r="N92" s="7">
        <v>2</v>
      </c>
      <c r="O92" s="7">
        <v>174</v>
      </c>
      <c r="P92" s="7">
        <v>16.600000000000001</v>
      </c>
      <c r="Q92" s="7">
        <v>7.5</v>
      </c>
      <c r="R92" s="7">
        <v>0.85</v>
      </c>
      <c r="S92" s="7">
        <v>3200</v>
      </c>
      <c r="T92" s="7">
        <v>4</v>
      </c>
      <c r="U92" s="6">
        <v>123</v>
      </c>
      <c r="V92"/>
    </row>
    <row r="93" spans="4:22" ht="16.5" hidden="1" customHeight="1" x14ac:dyDescent="0.25">
      <c r="D93" s="3" t="s">
        <v>41</v>
      </c>
      <c r="E93" s="7"/>
      <c r="F93" s="7">
        <v>11</v>
      </c>
      <c r="G93" s="7">
        <v>6.52</v>
      </c>
      <c r="H93" s="7">
        <v>16</v>
      </c>
      <c r="I93" s="7">
        <v>3</v>
      </c>
      <c r="J93" s="7">
        <v>8</v>
      </c>
      <c r="K93" s="10">
        <v>64</v>
      </c>
      <c r="L93" s="7">
        <v>256</v>
      </c>
      <c r="M93" s="31">
        <v>8</v>
      </c>
      <c r="N93" s="7">
        <v>3</v>
      </c>
      <c r="O93" s="7">
        <v>180</v>
      </c>
      <c r="P93" s="7">
        <v>16.5</v>
      </c>
      <c r="Q93" s="7">
        <v>7.52</v>
      </c>
      <c r="R93" s="7">
        <v>0.82</v>
      </c>
      <c r="S93" s="7">
        <v>4000</v>
      </c>
      <c r="T93" s="7">
        <v>4</v>
      </c>
      <c r="U93" s="6">
        <v>124</v>
      </c>
      <c r="V93"/>
    </row>
    <row r="94" spans="4:22" ht="16.5" hidden="1" customHeight="1" x14ac:dyDescent="0.25">
      <c r="D94" s="3" t="s">
        <v>201</v>
      </c>
      <c r="E94" s="7"/>
      <c r="F94" s="7">
        <v>13</v>
      </c>
      <c r="G94" s="7" t="s">
        <v>239</v>
      </c>
      <c r="H94" s="7">
        <v>13</v>
      </c>
      <c r="I94" s="7">
        <v>2</v>
      </c>
      <c r="J94" s="7">
        <v>5</v>
      </c>
      <c r="K94" s="7">
        <v>64</v>
      </c>
      <c r="L94" s="7">
        <v>256</v>
      </c>
      <c r="M94" s="31" t="s">
        <v>205</v>
      </c>
      <c r="N94" s="7">
        <v>4</v>
      </c>
      <c r="O94" s="7">
        <v>180</v>
      </c>
      <c r="P94" s="7">
        <v>16.420000000000002</v>
      </c>
      <c r="Q94" s="7">
        <v>7.5</v>
      </c>
      <c r="R94" s="7">
        <v>0.85</v>
      </c>
      <c r="S94" s="7">
        <v>5000</v>
      </c>
      <c r="T94" s="7">
        <v>4</v>
      </c>
      <c r="U94" s="6">
        <v>31</v>
      </c>
      <c r="V94"/>
    </row>
    <row r="95" spans="4:22" ht="16.5" hidden="1" customHeight="1" x14ac:dyDescent="0.25">
      <c r="D95" s="3" t="s">
        <v>99</v>
      </c>
      <c r="E95" s="7"/>
      <c r="F95" s="7">
        <v>11</v>
      </c>
      <c r="G95" s="7">
        <v>6.5</v>
      </c>
      <c r="H95" s="7">
        <v>16</v>
      </c>
      <c r="I95" s="7">
        <v>3</v>
      </c>
      <c r="J95" s="7">
        <v>8</v>
      </c>
      <c r="K95" s="10">
        <v>64</v>
      </c>
      <c r="L95" s="7">
        <v>256</v>
      </c>
      <c r="M95" s="31">
        <v>8</v>
      </c>
      <c r="N95" s="7">
        <v>4</v>
      </c>
      <c r="O95" s="7">
        <v>184</v>
      </c>
      <c r="P95" s="7">
        <v>16.399999999999999</v>
      </c>
      <c r="Q95" s="7">
        <v>7.5</v>
      </c>
      <c r="R95" s="7">
        <v>0.85</v>
      </c>
      <c r="S95" s="7">
        <v>5000</v>
      </c>
      <c r="T95" s="7">
        <v>4</v>
      </c>
      <c r="U95" s="6">
        <v>35</v>
      </c>
      <c r="V95"/>
    </row>
    <row r="96" spans="4:22" ht="16.5" hidden="1" customHeight="1" x14ac:dyDescent="0.25">
      <c r="D96" s="3" t="s">
        <v>55</v>
      </c>
      <c r="E96" s="7"/>
      <c r="F96" s="7">
        <v>11</v>
      </c>
      <c r="G96" s="7">
        <v>6.5</v>
      </c>
      <c r="H96" s="7">
        <v>48</v>
      </c>
      <c r="I96" s="7">
        <v>2</v>
      </c>
      <c r="J96" s="7">
        <v>5</v>
      </c>
      <c r="K96" s="8">
        <v>32</v>
      </c>
      <c r="L96" s="7">
        <v>256</v>
      </c>
      <c r="M96" s="31">
        <v>8</v>
      </c>
      <c r="N96" s="7">
        <v>3</v>
      </c>
      <c r="O96" s="7">
        <v>196</v>
      </c>
      <c r="P96" s="7">
        <v>16.399999999999999</v>
      </c>
      <c r="Q96" s="7">
        <v>7.59</v>
      </c>
      <c r="R96" s="7">
        <v>0.91</v>
      </c>
      <c r="S96" s="7">
        <v>5000</v>
      </c>
      <c r="T96" s="7">
        <v>4</v>
      </c>
      <c r="U96" s="6">
        <v>49</v>
      </c>
      <c r="V96"/>
    </row>
    <row r="97" spans="4:22" ht="16.5" hidden="1" customHeight="1" x14ac:dyDescent="0.25">
      <c r="D97" s="3" t="s">
        <v>97</v>
      </c>
      <c r="E97" s="7"/>
      <c r="F97" s="7">
        <v>12</v>
      </c>
      <c r="G97" s="7">
        <v>6.5</v>
      </c>
      <c r="H97" s="7">
        <v>50</v>
      </c>
      <c r="I97" s="7">
        <v>4</v>
      </c>
      <c r="J97" s="7">
        <v>8</v>
      </c>
      <c r="K97" s="10">
        <v>128</v>
      </c>
      <c r="L97" s="7">
        <v>256</v>
      </c>
      <c r="M97" s="31">
        <v>8</v>
      </c>
      <c r="N97" s="7">
        <v>4</v>
      </c>
      <c r="O97" s="7">
        <v>181</v>
      </c>
      <c r="P97" s="7">
        <v>16.2</v>
      </c>
      <c r="Q97" s="7">
        <v>7.55</v>
      </c>
      <c r="R97" s="7">
        <v>0.89</v>
      </c>
      <c r="S97" s="7">
        <v>5000</v>
      </c>
      <c r="T97" s="7">
        <v>4.5</v>
      </c>
      <c r="U97" s="6">
        <v>102</v>
      </c>
      <c r="V97"/>
    </row>
    <row r="98" spans="4:22" ht="16.5" hidden="1" customHeight="1" x14ac:dyDescent="0.25">
      <c r="D98" s="3" t="s">
        <v>165</v>
      </c>
      <c r="E98" s="7"/>
      <c r="F98" s="7">
        <v>12</v>
      </c>
      <c r="G98" s="7">
        <v>6.5</v>
      </c>
      <c r="H98" s="7">
        <v>50</v>
      </c>
      <c r="I98" s="7">
        <v>4</v>
      </c>
      <c r="J98" s="7">
        <v>8</v>
      </c>
      <c r="K98" s="7">
        <v>64</v>
      </c>
      <c r="L98" s="7">
        <v>256</v>
      </c>
      <c r="M98" s="31">
        <v>8</v>
      </c>
      <c r="N98" s="7">
        <v>4</v>
      </c>
      <c r="O98" s="7">
        <v>181</v>
      </c>
      <c r="P98" s="7">
        <v>16.2</v>
      </c>
      <c r="Q98" s="7">
        <v>7.55</v>
      </c>
      <c r="R98" s="7">
        <v>0.89</v>
      </c>
      <c r="S98" s="7">
        <v>5000</v>
      </c>
      <c r="T98" s="7">
        <v>4.5</v>
      </c>
      <c r="U98" s="6">
        <v>103</v>
      </c>
      <c r="V98"/>
    </row>
    <row r="99" spans="4:22" ht="16.5" hidden="1" customHeight="1" x14ac:dyDescent="0.25">
      <c r="D99" s="3" t="s">
        <v>123</v>
      </c>
      <c r="E99" s="7"/>
      <c r="F99" s="7">
        <v>11</v>
      </c>
      <c r="G99" s="7">
        <v>6.6</v>
      </c>
      <c r="H99" s="7">
        <v>50</v>
      </c>
      <c r="I99" s="7">
        <v>3</v>
      </c>
      <c r="J99" s="7">
        <v>8</v>
      </c>
      <c r="K99" s="10">
        <v>128</v>
      </c>
      <c r="L99" s="7">
        <v>256</v>
      </c>
      <c r="M99" s="31">
        <v>8</v>
      </c>
      <c r="N99" s="7">
        <v>4</v>
      </c>
      <c r="O99" s="7">
        <v>189</v>
      </c>
      <c r="P99" s="7">
        <v>16.399999999999999</v>
      </c>
      <c r="Q99" s="7">
        <v>7.6</v>
      </c>
      <c r="R99" s="7">
        <v>0.81</v>
      </c>
      <c r="S99" s="7">
        <v>5000</v>
      </c>
      <c r="T99" s="7">
        <v>4</v>
      </c>
      <c r="U99" s="6">
        <v>48</v>
      </c>
      <c r="V99"/>
    </row>
    <row r="100" spans="4:22" ht="16.5" hidden="1" customHeight="1" x14ac:dyDescent="0.25">
      <c r="D100" s="3" t="s">
        <v>122</v>
      </c>
      <c r="E100" s="7"/>
      <c r="F100" s="7">
        <v>12</v>
      </c>
      <c r="G100" s="7">
        <v>6.56</v>
      </c>
      <c r="H100" s="7">
        <v>50</v>
      </c>
      <c r="I100" s="7">
        <v>2</v>
      </c>
      <c r="J100" s="7">
        <v>8</v>
      </c>
      <c r="K100" s="10">
        <v>128</v>
      </c>
      <c r="L100" s="7">
        <v>256</v>
      </c>
      <c r="M100" s="31">
        <v>8</v>
      </c>
      <c r="N100" s="7">
        <v>4</v>
      </c>
      <c r="O100" s="7">
        <v>187</v>
      </c>
      <c r="P100" s="7">
        <v>16.399999999999999</v>
      </c>
      <c r="Q100" s="7">
        <v>7.5</v>
      </c>
      <c r="R100" s="7">
        <v>0.8</v>
      </c>
      <c r="S100" s="7">
        <v>4880</v>
      </c>
      <c r="T100" s="7">
        <v>4</v>
      </c>
      <c r="U100" s="6">
        <v>4</v>
      </c>
      <c r="V100"/>
    </row>
    <row r="101" spans="4:22" ht="16.5" hidden="1" customHeight="1" x14ac:dyDescent="0.25">
      <c r="D101" s="3" t="s">
        <v>30</v>
      </c>
      <c r="E101" s="7"/>
      <c r="F101" s="7">
        <v>12</v>
      </c>
      <c r="G101" s="7">
        <v>6.8</v>
      </c>
      <c r="H101" s="7">
        <v>16</v>
      </c>
      <c r="I101" s="7">
        <v>3</v>
      </c>
      <c r="J101" s="7">
        <v>10</v>
      </c>
      <c r="K101" s="10">
        <v>256</v>
      </c>
      <c r="L101" s="7">
        <v>256</v>
      </c>
      <c r="M101" s="31">
        <v>8</v>
      </c>
      <c r="N101" s="7">
        <v>12</v>
      </c>
      <c r="O101" s="7">
        <v>196</v>
      </c>
      <c r="P101" s="7">
        <v>16.2</v>
      </c>
      <c r="Q101" s="7">
        <v>7.7</v>
      </c>
      <c r="R101" s="7">
        <v>0.79</v>
      </c>
      <c r="S101" s="7">
        <v>4300</v>
      </c>
      <c r="T101" s="7">
        <v>4.5</v>
      </c>
      <c r="U101" s="6">
        <v>69</v>
      </c>
      <c r="V101"/>
    </row>
    <row r="102" spans="4:22" ht="16.5" hidden="1" customHeight="1" x14ac:dyDescent="0.25">
      <c r="D102" s="3" t="s">
        <v>29</v>
      </c>
      <c r="E102" s="7"/>
      <c r="F102" s="7">
        <v>12</v>
      </c>
      <c r="G102" s="7">
        <v>6.3</v>
      </c>
      <c r="H102" s="7">
        <v>16</v>
      </c>
      <c r="I102" s="7">
        <v>3</v>
      </c>
      <c r="J102" s="7">
        <v>10</v>
      </c>
      <c r="K102" s="10">
        <v>256</v>
      </c>
      <c r="L102" s="7">
        <v>256</v>
      </c>
      <c r="M102" s="31">
        <v>8</v>
      </c>
      <c r="N102" s="7">
        <v>8</v>
      </c>
      <c r="O102" s="7">
        <v>168</v>
      </c>
      <c r="P102" s="7">
        <v>15.1</v>
      </c>
      <c r="Q102" s="7">
        <v>7.18</v>
      </c>
      <c r="R102" s="7">
        <v>0.79</v>
      </c>
      <c r="S102" s="7">
        <v>3500</v>
      </c>
      <c r="T102" s="7">
        <v>4.5</v>
      </c>
      <c r="U102" s="6">
        <v>68</v>
      </c>
      <c r="V102"/>
    </row>
    <row r="103" spans="4:22" ht="16.5" hidden="1" customHeight="1" x14ac:dyDescent="0.25">
      <c r="D103" s="3" t="s">
        <v>120</v>
      </c>
      <c r="E103" s="7"/>
      <c r="F103" s="7">
        <v>12</v>
      </c>
      <c r="G103" s="7">
        <v>6.5</v>
      </c>
      <c r="H103" s="7">
        <v>50</v>
      </c>
      <c r="I103" s="7">
        <v>3</v>
      </c>
      <c r="J103" s="7">
        <v>5</v>
      </c>
      <c r="K103" s="10">
        <v>64</v>
      </c>
      <c r="L103" s="7">
        <v>256</v>
      </c>
      <c r="M103" s="31">
        <v>8</v>
      </c>
      <c r="N103" s="7">
        <v>4</v>
      </c>
      <c r="O103" s="7">
        <v>194</v>
      </c>
      <c r="P103" s="7">
        <v>16.3</v>
      </c>
      <c r="Q103" s="7">
        <v>7.51</v>
      </c>
      <c r="R103" s="7">
        <v>0.87</v>
      </c>
      <c r="S103" s="7">
        <v>5000</v>
      </c>
      <c r="T103" s="7">
        <v>4</v>
      </c>
      <c r="U103" s="6">
        <v>14</v>
      </c>
      <c r="V103"/>
    </row>
    <row r="104" spans="4:22" ht="16.5" hidden="1" customHeight="1" x14ac:dyDescent="0.25">
      <c r="D104" s="3" t="s">
        <v>88</v>
      </c>
      <c r="E104" s="7"/>
      <c r="F104" s="7">
        <v>11</v>
      </c>
      <c r="G104" s="7">
        <v>6.53</v>
      </c>
      <c r="H104" s="7">
        <v>13</v>
      </c>
      <c r="I104" s="7">
        <v>1</v>
      </c>
      <c r="J104" s="7">
        <v>5</v>
      </c>
      <c r="K104" s="10">
        <v>32</v>
      </c>
      <c r="L104" s="7">
        <v>256</v>
      </c>
      <c r="M104" s="31">
        <v>8</v>
      </c>
      <c r="N104" s="7">
        <v>2</v>
      </c>
      <c r="O104" s="7">
        <v>194</v>
      </c>
      <c r="P104" s="7">
        <v>16.399999999999999</v>
      </c>
      <c r="Q104" s="7">
        <v>7.71</v>
      </c>
      <c r="R104" s="7">
        <v>0.9</v>
      </c>
      <c r="S104" s="7">
        <v>5000</v>
      </c>
      <c r="T104" s="7">
        <v>4</v>
      </c>
      <c r="U104" s="6">
        <v>104</v>
      </c>
      <c r="V104"/>
    </row>
    <row r="105" spans="4:22" ht="16.5" hidden="1" customHeight="1" x14ac:dyDescent="0.25">
      <c r="D105" s="3" t="s">
        <v>66</v>
      </c>
      <c r="E105" s="7"/>
      <c r="F105" s="7">
        <v>10</v>
      </c>
      <c r="G105" s="7">
        <v>6.53</v>
      </c>
      <c r="H105" s="7">
        <v>13</v>
      </c>
      <c r="I105" s="7">
        <v>1</v>
      </c>
      <c r="J105" s="7">
        <v>5</v>
      </c>
      <c r="K105" s="10">
        <v>32</v>
      </c>
      <c r="L105" s="7">
        <v>256</v>
      </c>
      <c r="M105" s="31">
        <v>8</v>
      </c>
      <c r="N105" s="7">
        <v>2</v>
      </c>
      <c r="O105" s="7">
        <v>196</v>
      </c>
      <c r="P105" s="7">
        <v>16.399999999999999</v>
      </c>
      <c r="Q105" s="7">
        <v>7.71</v>
      </c>
      <c r="R105" s="7">
        <v>0.9</v>
      </c>
      <c r="S105" s="7">
        <v>5000</v>
      </c>
      <c r="T105" s="7">
        <v>4</v>
      </c>
      <c r="U105" s="6">
        <v>107</v>
      </c>
      <c r="V105"/>
    </row>
    <row r="106" spans="4:22" ht="16.5" hidden="1" customHeight="1" x14ac:dyDescent="0.25">
      <c r="D106" s="3" t="s">
        <v>93</v>
      </c>
      <c r="E106" s="7"/>
      <c r="F106" s="7">
        <v>11</v>
      </c>
      <c r="G106" s="7">
        <v>6.75</v>
      </c>
      <c r="H106" s="7">
        <v>48</v>
      </c>
      <c r="I106" s="7">
        <v>3</v>
      </c>
      <c r="J106" s="7">
        <v>8</v>
      </c>
      <c r="K106" s="10">
        <v>128</v>
      </c>
      <c r="L106" s="7">
        <v>256</v>
      </c>
      <c r="M106" s="31">
        <v>8</v>
      </c>
      <c r="N106" s="7">
        <v>4</v>
      </c>
      <c r="O106" s="7">
        <v>199</v>
      </c>
      <c r="P106" s="7">
        <v>16.8</v>
      </c>
      <c r="Q106" s="7">
        <v>7.77</v>
      </c>
      <c r="R106" s="7">
        <v>0.89</v>
      </c>
      <c r="S106" s="7">
        <v>6000</v>
      </c>
      <c r="T106" s="7">
        <v>4</v>
      </c>
      <c r="U106" s="6">
        <v>24</v>
      </c>
      <c r="V106"/>
    </row>
    <row r="107" spans="4:22" ht="16.5" hidden="1" customHeight="1" x14ac:dyDescent="0.25">
      <c r="D107" s="3" t="s">
        <v>90</v>
      </c>
      <c r="E107" s="7"/>
      <c r="F107" s="7">
        <v>11</v>
      </c>
      <c r="G107" s="7">
        <v>6.67</v>
      </c>
      <c r="H107" s="7">
        <v>48</v>
      </c>
      <c r="I107" s="7">
        <v>4</v>
      </c>
      <c r="J107" s="7">
        <v>32</v>
      </c>
      <c r="K107" s="10">
        <v>256</v>
      </c>
      <c r="L107" s="7">
        <v>256</v>
      </c>
      <c r="M107" s="31">
        <v>8</v>
      </c>
      <c r="N107" s="7">
        <v>6</v>
      </c>
      <c r="O107" s="7">
        <v>190</v>
      </c>
      <c r="P107" s="7">
        <v>16.399999999999999</v>
      </c>
      <c r="Q107" s="7">
        <v>7.3</v>
      </c>
      <c r="R107" s="7">
        <v>0.88</v>
      </c>
      <c r="S107" s="7">
        <v>4500</v>
      </c>
      <c r="T107" s="7">
        <v>5</v>
      </c>
      <c r="U107" s="6">
        <v>85</v>
      </c>
      <c r="V107"/>
    </row>
    <row r="108" spans="4:22" ht="16.5" hidden="1" customHeight="1" x14ac:dyDescent="0.25">
      <c r="D108" s="3" t="s">
        <v>17</v>
      </c>
      <c r="E108" s="7"/>
      <c r="F108" s="7">
        <v>10</v>
      </c>
      <c r="G108" s="7">
        <v>6.63</v>
      </c>
      <c r="H108" s="7">
        <v>64</v>
      </c>
      <c r="I108" s="7">
        <v>4</v>
      </c>
      <c r="J108" s="7">
        <v>16</v>
      </c>
      <c r="K108" s="8">
        <v>128</v>
      </c>
      <c r="L108" s="7">
        <v>256</v>
      </c>
      <c r="M108" s="33">
        <v>8</v>
      </c>
      <c r="N108" s="7">
        <v>6</v>
      </c>
      <c r="O108" s="7">
        <v>197</v>
      </c>
      <c r="P108" s="7">
        <v>16.3</v>
      </c>
      <c r="Q108" s="7">
        <v>7.65</v>
      </c>
      <c r="R108" s="7">
        <v>0.9</v>
      </c>
      <c r="S108" s="7">
        <v>4300</v>
      </c>
      <c r="T108" s="7">
        <v>4</v>
      </c>
      <c r="U108" s="6">
        <v>27</v>
      </c>
      <c r="V108"/>
    </row>
    <row r="109" spans="4:22" ht="16.5" hidden="1" customHeight="1" x14ac:dyDescent="0.25">
      <c r="D109" s="3" t="s">
        <v>49</v>
      </c>
      <c r="E109" s="7"/>
      <c r="F109" s="7">
        <v>11</v>
      </c>
      <c r="G109" s="7">
        <v>6.4</v>
      </c>
      <c r="H109" s="7">
        <v>50</v>
      </c>
      <c r="I109" s="7">
        <v>3</v>
      </c>
      <c r="J109" s="7">
        <v>13</v>
      </c>
      <c r="K109" s="10">
        <v>128</v>
      </c>
      <c r="L109" s="7">
        <v>256</v>
      </c>
      <c r="M109" s="31">
        <v>8</v>
      </c>
      <c r="N109" s="7">
        <v>4</v>
      </c>
      <c r="O109" s="7">
        <v>181</v>
      </c>
      <c r="P109" s="7">
        <v>16.100000000000001</v>
      </c>
      <c r="Q109" s="7">
        <v>7.39</v>
      </c>
      <c r="R109" s="7">
        <v>0.86</v>
      </c>
      <c r="S109" s="7">
        <v>5000</v>
      </c>
      <c r="T109" s="7">
        <v>4</v>
      </c>
      <c r="U109" s="6">
        <v>40</v>
      </c>
      <c r="V109"/>
    </row>
    <row r="110" spans="4:22" ht="16.5" hidden="1" customHeight="1" x14ac:dyDescent="0.25">
      <c r="D110" s="3" t="s">
        <v>20</v>
      </c>
      <c r="E110" s="7"/>
      <c r="F110" s="7">
        <v>11</v>
      </c>
      <c r="G110" s="7">
        <v>6.5</v>
      </c>
      <c r="H110" s="7">
        <v>48</v>
      </c>
      <c r="I110" s="7">
        <v>3</v>
      </c>
      <c r="J110" s="7">
        <v>13</v>
      </c>
      <c r="K110" s="10">
        <v>128</v>
      </c>
      <c r="L110" s="7">
        <v>256</v>
      </c>
      <c r="M110" s="31">
        <v>8</v>
      </c>
      <c r="N110" s="7">
        <v>4</v>
      </c>
      <c r="O110" s="7">
        <v>192</v>
      </c>
      <c r="P110" s="7">
        <v>16.399999999999999</v>
      </c>
      <c r="Q110" s="7">
        <v>7.49</v>
      </c>
      <c r="R110" s="7">
        <v>0.9</v>
      </c>
      <c r="S110" s="7">
        <v>5000</v>
      </c>
      <c r="T110" s="7">
        <v>5</v>
      </c>
      <c r="U110" s="6">
        <v>41</v>
      </c>
      <c r="V110"/>
    </row>
    <row r="111" spans="4:22" ht="16.5" hidden="1" customHeight="1" x14ac:dyDescent="0.25">
      <c r="D111" s="3" t="s">
        <v>83</v>
      </c>
      <c r="E111" s="7"/>
      <c r="F111" s="7">
        <v>11</v>
      </c>
      <c r="G111" s="7">
        <v>6.58</v>
      </c>
      <c r="H111" s="7">
        <v>48</v>
      </c>
      <c r="I111" s="7">
        <v>3</v>
      </c>
      <c r="J111" s="7">
        <v>16</v>
      </c>
      <c r="K111" s="8">
        <v>128</v>
      </c>
      <c r="L111" s="7">
        <v>256</v>
      </c>
      <c r="M111" s="31">
        <v>8</v>
      </c>
      <c r="N111" s="7">
        <v>4</v>
      </c>
      <c r="O111" s="7">
        <v>191</v>
      </c>
      <c r="P111" s="7">
        <v>16.399999999999999</v>
      </c>
      <c r="Q111" s="7">
        <v>7.55</v>
      </c>
      <c r="R111" s="7">
        <v>0.84</v>
      </c>
      <c r="S111" s="7">
        <v>5000</v>
      </c>
      <c r="T111" s="7">
        <v>4.5</v>
      </c>
      <c r="U111" s="6">
        <v>90</v>
      </c>
      <c r="V111"/>
    </row>
    <row r="112" spans="4:22" ht="16.5" hidden="1" customHeight="1" x14ac:dyDescent="0.25">
      <c r="D112" s="3" t="s">
        <v>84</v>
      </c>
      <c r="E112" s="7"/>
      <c r="F112" s="7">
        <v>11</v>
      </c>
      <c r="G112" s="7">
        <v>6.58</v>
      </c>
      <c r="H112" s="7">
        <v>64</v>
      </c>
      <c r="I112" s="7">
        <v>3</v>
      </c>
      <c r="J112" s="7">
        <v>16</v>
      </c>
      <c r="K112" s="8">
        <v>128</v>
      </c>
      <c r="L112" s="7">
        <v>256</v>
      </c>
      <c r="M112" s="31">
        <v>8</v>
      </c>
      <c r="N112" s="7">
        <v>6</v>
      </c>
      <c r="O112" s="7">
        <v>190</v>
      </c>
      <c r="P112" s="7">
        <v>16.5</v>
      </c>
      <c r="Q112" s="7">
        <v>7.55</v>
      </c>
      <c r="R112" s="7">
        <v>0.84</v>
      </c>
      <c r="S112" s="7">
        <v>5000</v>
      </c>
      <c r="T112" s="7">
        <v>4.5</v>
      </c>
      <c r="U112" s="6">
        <v>92</v>
      </c>
      <c r="V112"/>
    </row>
    <row r="113" spans="4:22" ht="16.5" hidden="1" customHeight="1" x14ac:dyDescent="0.25">
      <c r="D113" s="3" t="s">
        <v>21</v>
      </c>
      <c r="E113" s="7"/>
      <c r="F113" s="7">
        <v>11</v>
      </c>
      <c r="G113" s="7">
        <v>6.8</v>
      </c>
      <c r="H113" s="7">
        <v>64</v>
      </c>
      <c r="I113" s="7">
        <v>4</v>
      </c>
      <c r="J113" s="7">
        <v>16</v>
      </c>
      <c r="K113" s="10">
        <v>128</v>
      </c>
      <c r="L113" s="7">
        <v>256</v>
      </c>
      <c r="M113" s="31">
        <v>8</v>
      </c>
      <c r="N113" s="7">
        <v>6</v>
      </c>
      <c r="O113" s="7">
        <v>212</v>
      </c>
      <c r="P113" s="7">
        <v>16.899999999999999</v>
      </c>
      <c r="Q113" s="7">
        <v>7.59</v>
      </c>
      <c r="R113" s="7">
        <v>0.96</v>
      </c>
      <c r="S113" s="7">
        <v>5000</v>
      </c>
      <c r="T113" s="7">
        <v>4</v>
      </c>
      <c r="U113" s="6">
        <v>44</v>
      </c>
      <c r="V113"/>
    </row>
    <row r="114" spans="4:22" ht="16.5" hidden="1" customHeight="1" x14ac:dyDescent="0.25">
      <c r="D114" s="3" t="s">
        <v>72</v>
      </c>
      <c r="E114" s="7"/>
      <c r="F114" s="7">
        <v>11</v>
      </c>
      <c r="G114" s="7">
        <v>6.67</v>
      </c>
      <c r="H114" s="7">
        <v>108</v>
      </c>
      <c r="I114" s="7">
        <v>4</v>
      </c>
      <c r="J114" s="7">
        <v>16</v>
      </c>
      <c r="K114" s="10">
        <v>128</v>
      </c>
      <c r="L114" s="7">
        <v>256</v>
      </c>
      <c r="M114" s="31">
        <v>8</v>
      </c>
      <c r="N114" s="7">
        <v>6</v>
      </c>
      <c r="O114" s="7">
        <v>202</v>
      </c>
      <c r="P114" s="7">
        <v>16.399999999999999</v>
      </c>
      <c r="Q114" s="7">
        <v>7.61</v>
      </c>
      <c r="R114" s="7">
        <v>0.81</v>
      </c>
      <c r="S114" s="7">
        <v>5000</v>
      </c>
      <c r="T114" s="7">
        <v>4.5</v>
      </c>
      <c r="U114" s="6">
        <v>117</v>
      </c>
      <c r="V114"/>
    </row>
    <row r="115" spans="4:22" ht="16.5" hidden="1" customHeight="1" x14ac:dyDescent="0.25">
      <c r="D115" s="3" t="s">
        <v>69</v>
      </c>
      <c r="E115" s="7"/>
      <c r="F115" s="7">
        <v>11</v>
      </c>
      <c r="G115" s="7">
        <v>6.43</v>
      </c>
      <c r="H115" s="7">
        <v>108</v>
      </c>
      <c r="I115" s="7">
        <v>4</v>
      </c>
      <c r="J115" s="7">
        <v>16</v>
      </c>
      <c r="K115" s="10">
        <v>128</v>
      </c>
      <c r="L115" s="7">
        <v>256</v>
      </c>
      <c r="M115" s="31">
        <v>8</v>
      </c>
      <c r="N115" s="7">
        <v>6</v>
      </c>
      <c r="O115" s="7">
        <v>179</v>
      </c>
      <c r="P115" s="7">
        <v>15.9</v>
      </c>
      <c r="Q115" s="7">
        <v>7.73</v>
      </c>
      <c r="R115" s="7">
        <v>0.81</v>
      </c>
      <c r="S115" s="7">
        <v>5000</v>
      </c>
      <c r="T115" s="7">
        <v>4.5</v>
      </c>
      <c r="U115" s="6">
        <v>119</v>
      </c>
      <c r="V115"/>
    </row>
    <row r="116" spans="4:22" ht="16.5" hidden="1" customHeight="1" x14ac:dyDescent="0.25">
      <c r="D116" s="3" t="s">
        <v>101</v>
      </c>
      <c r="E116" s="7"/>
      <c r="F116" s="7">
        <v>12</v>
      </c>
      <c r="G116" s="7">
        <v>6.6</v>
      </c>
      <c r="H116" s="7">
        <v>50</v>
      </c>
      <c r="I116" s="7">
        <v>3</v>
      </c>
      <c r="J116" s="7">
        <v>16</v>
      </c>
      <c r="K116" s="10">
        <v>128</v>
      </c>
      <c r="L116" s="7">
        <v>256</v>
      </c>
      <c r="M116" s="31">
        <v>8</v>
      </c>
      <c r="N116" s="7">
        <v>6</v>
      </c>
      <c r="O116" s="7">
        <v>173</v>
      </c>
      <c r="P116" s="7">
        <v>16</v>
      </c>
      <c r="Q116" s="7">
        <v>7.45</v>
      </c>
      <c r="R116" s="7">
        <v>0.8</v>
      </c>
      <c r="S116" s="7">
        <v>5000</v>
      </c>
      <c r="T116" s="7">
        <v>5</v>
      </c>
      <c r="U116" s="6">
        <v>46</v>
      </c>
      <c r="V116"/>
    </row>
    <row r="117" spans="4:22" ht="16.5" hidden="1" customHeight="1" x14ac:dyDescent="0.25">
      <c r="D117" s="3" t="s">
        <v>73</v>
      </c>
      <c r="E117" s="7"/>
      <c r="F117" s="7">
        <v>11</v>
      </c>
      <c r="G117" s="7">
        <v>6.67</v>
      </c>
      <c r="H117" s="7">
        <v>108</v>
      </c>
      <c r="I117" s="7">
        <v>3</v>
      </c>
      <c r="J117" s="7">
        <v>16</v>
      </c>
      <c r="K117" s="10">
        <v>128</v>
      </c>
      <c r="L117" s="7">
        <v>256</v>
      </c>
      <c r="M117" s="31">
        <v>8</v>
      </c>
      <c r="N117" s="7">
        <v>4</v>
      </c>
      <c r="O117" s="7">
        <v>202</v>
      </c>
      <c r="P117" s="7">
        <v>16.399999999999999</v>
      </c>
      <c r="Q117" s="7">
        <v>7.61</v>
      </c>
      <c r="R117" s="7">
        <v>0.81</v>
      </c>
      <c r="S117" s="7">
        <v>5000</v>
      </c>
      <c r="T117" s="7">
        <v>5</v>
      </c>
      <c r="U117" s="6">
        <v>118</v>
      </c>
      <c r="V117"/>
    </row>
    <row r="118" spans="4:22" ht="16.5" hidden="1" customHeight="1" x14ac:dyDescent="0.25">
      <c r="D118" s="3" t="s">
        <v>52</v>
      </c>
      <c r="E118" s="7"/>
      <c r="F118" s="7">
        <v>11</v>
      </c>
      <c r="G118" s="7">
        <v>6.8</v>
      </c>
      <c r="H118" s="7">
        <v>50</v>
      </c>
      <c r="I118" s="7">
        <v>3</v>
      </c>
      <c r="J118" s="7">
        <v>13</v>
      </c>
      <c r="K118" s="10">
        <v>128</v>
      </c>
      <c r="L118" s="7">
        <v>256</v>
      </c>
      <c r="M118" s="31">
        <v>8</v>
      </c>
      <c r="N118" s="7">
        <v>4</v>
      </c>
      <c r="O118" s="7">
        <v>208</v>
      </c>
      <c r="P118" s="7">
        <v>17</v>
      </c>
      <c r="Q118" s="7">
        <v>7.65</v>
      </c>
      <c r="R118" s="7">
        <v>0.91</v>
      </c>
      <c r="S118" s="7">
        <v>5000</v>
      </c>
      <c r="T118" s="7">
        <v>5</v>
      </c>
      <c r="U118" s="6">
        <v>42</v>
      </c>
      <c r="V118"/>
    </row>
    <row r="119" spans="4:22" ht="16.5" hidden="1" customHeight="1" x14ac:dyDescent="0.25">
      <c r="D119" s="3" t="s">
        <v>50</v>
      </c>
      <c r="E119" s="7"/>
      <c r="F119" s="7">
        <v>11</v>
      </c>
      <c r="G119" s="7">
        <v>6.43</v>
      </c>
      <c r="H119" s="7">
        <v>48</v>
      </c>
      <c r="I119" s="7">
        <v>4</v>
      </c>
      <c r="J119" s="7">
        <v>32</v>
      </c>
      <c r="K119" s="10">
        <v>128</v>
      </c>
      <c r="L119" s="7">
        <v>256</v>
      </c>
      <c r="M119" s="31">
        <v>8</v>
      </c>
      <c r="N119" s="7">
        <v>8</v>
      </c>
      <c r="O119" s="7">
        <v>172</v>
      </c>
      <c r="P119" s="7">
        <v>16</v>
      </c>
      <c r="Q119" s="7">
        <v>7.32</v>
      </c>
      <c r="R119" s="7">
        <v>0.78</v>
      </c>
      <c r="S119" s="7">
        <v>4310</v>
      </c>
      <c r="T119" s="7">
        <v>4</v>
      </c>
      <c r="U119" s="6">
        <v>6</v>
      </c>
      <c r="V119"/>
    </row>
    <row r="120" spans="4:22" ht="16.5" hidden="1" customHeight="1" x14ac:dyDescent="0.25">
      <c r="D120" s="3" t="s">
        <v>70</v>
      </c>
      <c r="E120" s="7"/>
      <c r="F120" s="7">
        <v>12</v>
      </c>
      <c r="G120" s="7">
        <v>6.6</v>
      </c>
      <c r="H120" s="7">
        <v>50</v>
      </c>
      <c r="I120" s="7">
        <v>4</v>
      </c>
      <c r="J120" s="7">
        <v>8</v>
      </c>
      <c r="K120" s="10">
        <v>64</v>
      </c>
      <c r="L120" s="7">
        <v>256</v>
      </c>
      <c r="M120" s="31">
        <v>8</v>
      </c>
      <c r="N120" s="7">
        <v>4</v>
      </c>
      <c r="O120" s="7">
        <v>195</v>
      </c>
      <c r="P120" s="7">
        <v>16.5</v>
      </c>
      <c r="Q120" s="7">
        <v>7.64</v>
      </c>
      <c r="R120" s="7">
        <v>0.88</v>
      </c>
      <c r="S120" s="7">
        <v>5000</v>
      </c>
      <c r="T120" s="7">
        <v>4</v>
      </c>
      <c r="U120" s="6">
        <v>55</v>
      </c>
      <c r="V120"/>
    </row>
    <row r="121" spans="4:22" ht="16.5" hidden="1" customHeight="1" x14ac:dyDescent="0.25">
      <c r="D121" s="3" t="s">
        <v>24</v>
      </c>
      <c r="E121" s="7"/>
      <c r="F121" s="7">
        <v>11</v>
      </c>
      <c r="G121" s="7">
        <v>6.6</v>
      </c>
      <c r="H121" s="7">
        <v>48</v>
      </c>
      <c r="I121" s="7">
        <v>3</v>
      </c>
      <c r="J121" s="7">
        <v>8</v>
      </c>
      <c r="K121" s="10">
        <v>128</v>
      </c>
      <c r="L121" s="7">
        <v>256</v>
      </c>
      <c r="M121" s="31">
        <v>8</v>
      </c>
      <c r="N121" s="7">
        <v>4</v>
      </c>
      <c r="O121" s="7">
        <v>203</v>
      </c>
      <c r="P121" s="7">
        <v>16.7</v>
      </c>
      <c r="Q121" s="7">
        <v>7.64</v>
      </c>
      <c r="R121" s="7">
        <v>0.9</v>
      </c>
      <c r="S121" s="7">
        <v>5000</v>
      </c>
      <c r="T121" s="7">
        <v>5</v>
      </c>
      <c r="U121" s="6">
        <v>57</v>
      </c>
      <c r="V121"/>
    </row>
    <row r="122" spans="4:22" ht="16.5" hidden="1" customHeight="1" x14ac:dyDescent="0.25">
      <c r="D122" s="3" t="s">
        <v>74</v>
      </c>
      <c r="E122" s="7"/>
      <c r="F122" s="7">
        <v>12</v>
      </c>
      <c r="G122" s="7">
        <v>6.5</v>
      </c>
      <c r="H122" s="7">
        <v>50</v>
      </c>
      <c r="I122" s="7">
        <v>4</v>
      </c>
      <c r="J122" s="7">
        <v>16</v>
      </c>
      <c r="K122" s="10">
        <v>128</v>
      </c>
      <c r="L122" s="7">
        <v>256</v>
      </c>
      <c r="M122" s="31">
        <v>8</v>
      </c>
      <c r="N122" s="7">
        <v>4</v>
      </c>
      <c r="O122" s="7">
        <v>185</v>
      </c>
      <c r="P122" s="7">
        <v>16.399999999999999</v>
      </c>
      <c r="Q122" s="7">
        <v>7.5</v>
      </c>
      <c r="R122" s="7">
        <v>0.75</v>
      </c>
      <c r="S122" s="7">
        <v>5000</v>
      </c>
      <c r="T122" s="7">
        <v>4</v>
      </c>
      <c r="U122" s="6">
        <v>30</v>
      </c>
      <c r="V122"/>
    </row>
    <row r="123" spans="4:22" ht="16.5" hidden="1" customHeight="1" x14ac:dyDescent="0.25">
      <c r="D123" s="3" t="s">
        <v>36</v>
      </c>
      <c r="E123" s="7"/>
      <c r="F123" s="7">
        <v>11</v>
      </c>
      <c r="G123" s="7">
        <v>6.67</v>
      </c>
      <c r="H123" s="7">
        <v>108</v>
      </c>
      <c r="I123" s="7">
        <v>4</v>
      </c>
      <c r="J123" s="7">
        <v>16</v>
      </c>
      <c r="K123" s="10">
        <v>128</v>
      </c>
      <c r="L123" s="7">
        <v>256</v>
      </c>
      <c r="M123" s="31">
        <v>8</v>
      </c>
      <c r="N123" s="7">
        <v>6</v>
      </c>
      <c r="O123" s="7">
        <v>193</v>
      </c>
      <c r="P123" s="7">
        <v>16.399999999999999</v>
      </c>
      <c r="Q123" s="7">
        <v>7.65</v>
      </c>
      <c r="R123" s="7">
        <v>0.81</v>
      </c>
      <c r="S123" s="7">
        <v>5020</v>
      </c>
      <c r="T123" s="7">
        <v>4.5</v>
      </c>
      <c r="U123" s="6">
        <v>111</v>
      </c>
      <c r="V123"/>
    </row>
    <row r="124" spans="4:22" ht="16.5" hidden="1" customHeight="1" x14ac:dyDescent="0.25">
      <c r="D124" s="3" t="s">
        <v>22</v>
      </c>
      <c r="E124" s="7"/>
      <c r="F124" s="7">
        <v>10</v>
      </c>
      <c r="G124" s="7">
        <v>6.51</v>
      </c>
      <c r="H124" s="7">
        <v>13</v>
      </c>
      <c r="I124" s="7">
        <v>3</v>
      </c>
      <c r="J124" s="7">
        <v>16</v>
      </c>
      <c r="K124" s="8">
        <v>128</v>
      </c>
      <c r="L124" s="7">
        <v>256</v>
      </c>
      <c r="M124" s="31">
        <v>8</v>
      </c>
      <c r="N124" s="7">
        <v>4</v>
      </c>
      <c r="O124" s="7">
        <v>192</v>
      </c>
      <c r="P124" s="7">
        <v>16.3</v>
      </c>
      <c r="Q124" s="7">
        <v>7.57</v>
      </c>
      <c r="R124" s="7">
        <v>0.84</v>
      </c>
      <c r="S124" s="7">
        <v>5000</v>
      </c>
      <c r="T124" s="7">
        <v>4</v>
      </c>
      <c r="U124" s="6">
        <v>2</v>
      </c>
      <c r="V124"/>
    </row>
    <row r="125" spans="4:22" ht="16.5" hidden="1" customHeight="1" x14ac:dyDescent="0.25">
      <c r="D125" s="3" t="s">
        <v>121</v>
      </c>
      <c r="E125" s="7"/>
      <c r="F125" s="7">
        <v>12</v>
      </c>
      <c r="G125" s="7">
        <v>6.56</v>
      </c>
      <c r="H125" s="7">
        <v>13</v>
      </c>
      <c r="I125" s="7">
        <v>2</v>
      </c>
      <c r="J125" s="7">
        <v>8</v>
      </c>
      <c r="K125" s="10">
        <v>128</v>
      </c>
      <c r="L125" s="7">
        <v>256</v>
      </c>
      <c r="M125" s="31">
        <v>8</v>
      </c>
      <c r="N125" s="7">
        <v>4</v>
      </c>
      <c r="O125" s="7">
        <v>186</v>
      </c>
      <c r="P125" s="7">
        <v>16.3</v>
      </c>
      <c r="Q125" s="7">
        <v>7.51</v>
      </c>
      <c r="R125" s="7">
        <v>0.8</v>
      </c>
      <c r="S125" s="7">
        <v>5000</v>
      </c>
      <c r="T125" s="7">
        <v>4</v>
      </c>
      <c r="U125" s="6">
        <v>3</v>
      </c>
      <c r="V125"/>
    </row>
    <row r="126" spans="4:22" ht="16.5" hidden="1" customHeight="1" x14ac:dyDescent="0.25">
      <c r="D126" s="3" t="s">
        <v>23</v>
      </c>
      <c r="E126" s="7"/>
      <c r="F126" s="7">
        <v>11</v>
      </c>
      <c r="G126" s="7">
        <v>6.5</v>
      </c>
      <c r="H126" s="7">
        <v>13</v>
      </c>
      <c r="I126" s="7">
        <v>3</v>
      </c>
      <c r="J126" s="7">
        <v>5</v>
      </c>
      <c r="K126" s="8">
        <v>32</v>
      </c>
      <c r="L126" s="7">
        <v>256</v>
      </c>
      <c r="M126" s="31">
        <v>8</v>
      </c>
      <c r="N126" s="7">
        <v>3</v>
      </c>
      <c r="O126" s="7">
        <v>196</v>
      </c>
      <c r="P126" s="7">
        <v>16.399999999999999</v>
      </c>
      <c r="Q126" s="7">
        <v>7.59</v>
      </c>
      <c r="R126" s="7">
        <v>0.91</v>
      </c>
      <c r="S126" s="7">
        <v>5000</v>
      </c>
      <c r="T126" s="7">
        <v>4</v>
      </c>
      <c r="U126" s="6">
        <v>51</v>
      </c>
      <c r="V126"/>
    </row>
    <row r="127" spans="4:22" ht="16.5" hidden="1" customHeight="1" x14ac:dyDescent="0.25">
      <c r="D127" s="3" t="s">
        <v>33</v>
      </c>
      <c r="E127" s="7"/>
      <c r="F127" s="7">
        <v>11</v>
      </c>
      <c r="G127" s="7">
        <v>6.55</v>
      </c>
      <c r="H127" s="7">
        <v>64</v>
      </c>
      <c r="I127" s="7">
        <v>3</v>
      </c>
      <c r="J127" s="7">
        <v>20</v>
      </c>
      <c r="K127" s="10">
        <v>128</v>
      </c>
      <c r="L127" s="7">
        <v>256</v>
      </c>
      <c r="M127" s="31">
        <v>8</v>
      </c>
      <c r="N127" s="7">
        <v>6</v>
      </c>
      <c r="O127" s="7">
        <v>159</v>
      </c>
      <c r="P127" s="7">
        <v>16</v>
      </c>
      <c r="Q127" s="7">
        <v>7.57</v>
      </c>
      <c r="R127" s="7">
        <v>0.68</v>
      </c>
      <c r="S127" s="7">
        <v>4250</v>
      </c>
      <c r="T127" s="7">
        <v>5</v>
      </c>
      <c r="U127" s="6">
        <v>93</v>
      </c>
      <c r="V127"/>
    </row>
    <row r="128" spans="4:22" ht="16.5" hidden="1" customHeight="1" x14ac:dyDescent="0.25">
      <c r="D128" s="3" t="s">
        <v>34</v>
      </c>
      <c r="E128" s="7"/>
      <c r="F128" s="7">
        <v>11</v>
      </c>
      <c r="G128" s="7">
        <v>6.55</v>
      </c>
      <c r="H128" s="7">
        <v>64</v>
      </c>
      <c r="I128" s="7">
        <v>3</v>
      </c>
      <c r="J128" s="7">
        <v>20</v>
      </c>
      <c r="K128" s="10">
        <v>256</v>
      </c>
      <c r="L128" s="7">
        <v>256</v>
      </c>
      <c r="M128" s="31">
        <v>8</v>
      </c>
      <c r="N128" s="7">
        <v>8</v>
      </c>
      <c r="O128" s="7">
        <v>159</v>
      </c>
      <c r="P128" s="7">
        <v>16</v>
      </c>
      <c r="Q128" s="7">
        <v>7.57</v>
      </c>
      <c r="R128" s="7">
        <v>0.68</v>
      </c>
      <c r="S128" s="7">
        <v>4250</v>
      </c>
      <c r="T128" s="7">
        <v>5</v>
      </c>
      <c r="U128" s="6">
        <v>94</v>
      </c>
      <c r="V128"/>
    </row>
    <row r="129" spans="4:22" ht="16.5" hidden="1" customHeight="1" x14ac:dyDescent="0.25">
      <c r="D129" s="3" t="s">
        <v>78</v>
      </c>
      <c r="E129" s="7"/>
      <c r="F129" s="7">
        <v>11</v>
      </c>
      <c r="G129" s="7">
        <v>6.43</v>
      </c>
      <c r="H129" s="7">
        <v>50</v>
      </c>
      <c r="I129" s="7">
        <v>4</v>
      </c>
      <c r="J129" s="7">
        <v>13</v>
      </c>
      <c r="K129" s="10">
        <v>128</v>
      </c>
      <c r="L129" s="7">
        <v>256</v>
      </c>
      <c r="M129" s="31">
        <v>8</v>
      </c>
      <c r="N129" s="7">
        <v>4</v>
      </c>
      <c r="O129" s="7">
        <v>179</v>
      </c>
      <c r="P129" s="7">
        <v>15.9</v>
      </c>
      <c r="Q129" s="7">
        <v>7.39</v>
      </c>
      <c r="R129" s="7">
        <v>0.81</v>
      </c>
      <c r="S129" s="7">
        <v>5000</v>
      </c>
      <c r="T129" s="7">
        <v>4.5</v>
      </c>
      <c r="U129" s="6">
        <v>114</v>
      </c>
      <c r="V129"/>
    </row>
    <row r="130" spans="4:22" ht="16.5" hidden="1" customHeight="1" x14ac:dyDescent="0.25">
      <c r="D130" s="3" t="s">
        <v>86</v>
      </c>
      <c r="E130" s="7"/>
      <c r="F130" s="7">
        <v>11</v>
      </c>
      <c r="G130" s="7">
        <v>6.43</v>
      </c>
      <c r="H130" s="7">
        <v>50</v>
      </c>
      <c r="I130" s="7">
        <v>4</v>
      </c>
      <c r="J130" s="7">
        <v>13</v>
      </c>
      <c r="K130" s="10">
        <v>128</v>
      </c>
      <c r="L130" s="7">
        <v>256</v>
      </c>
      <c r="M130" s="31">
        <v>8</v>
      </c>
      <c r="N130" s="7">
        <v>4</v>
      </c>
      <c r="O130" s="7">
        <v>179</v>
      </c>
      <c r="P130" s="7">
        <v>15.9</v>
      </c>
      <c r="Q130" s="7">
        <v>7.39</v>
      </c>
      <c r="R130" s="7">
        <v>0.81</v>
      </c>
      <c r="S130" s="7">
        <v>5000</v>
      </c>
      <c r="T130" s="7">
        <v>5</v>
      </c>
      <c r="U130" s="6">
        <v>116</v>
      </c>
      <c r="V130"/>
    </row>
    <row r="131" spans="4:22" ht="16.5" hidden="1" customHeight="1" x14ac:dyDescent="0.25">
      <c r="D131" s="3" t="s">
        <v>100</v>
      </c>
      <c r="E131" s="7"/>
      <c r="F131" s="7">
        <v>12</v>
      </c>
      <c r="G131" s="7">
        <v>6.43</v>
      </c>
      <c r="H131" s="7">
        <v>64</v>
      </c>
      <c r="I131" s="7">
        <v>3</v>
      </c>
      <c r="J131" s="7">
        <v>32</v>
      </c>
      <c r="K131" s="10">
        <v>128</v>
      </c>
      <c r="L131" s="7">
        <v>256</v>
      </c>
      <c r="M131" s="31">
        <v>8</v>
      </c>
      <c r="N131" s="7">
        <v>8</v>
      </c>
      <c r="O131" s="7">
        <v>175</v>
      </c>
      <c r="P131" s="7">
        <v>15.9</v>
      </c>
      <c r="Q131" s="7">
        <v>7.32</v>
      </c>
      <c r="R131" s="7">
        <v>0.75</v>
      </c>
      <c r="S131" s="7">
        <v>4500</v>
      </c>
      <c r="T131" s="7">
        <v>4</v>
      </c>
      <c r="U131" s="6">
        <v>7</v>
      </c>
      <c r="V131"/>
    </row>
    <row r="132" spans="4:22" ht="16.5" hidden="1" customHeight="1" x14ac:dyDescent="0.25">
      <c r="D132" s="3" t="s">
        <v>180</v>
      </c>
      <c r="E132" s="7"/>
      <c r="F132" s="7">
        <v>12</v>
      </c>
      <c r="G132" s="7">
        <v>6.43</v>
      </c>
      <c r="H132" s="7">
        <v>64</v>
      </c>
      <c r="I132" s="7">
        <v>3</v>
      </c>
      <c r="J132" s="7">
        <v>32</v>
      </c>
      <c r="K132" s="10">
        <v>256</v>
      </c>
      <c r="L132" s="7">
        <v>256</v>
      </c>
      <c r="M132" s="31">
        <v>8</v>
      </c>
      <c r="N132" s="7">
        <v>8</v>
      </c>
      <c r="O132" s="7">
        <v>175</v>
      </c>
      <c r="P132" s="7">
        <v>15.9</v>
      </c>
      <c r="Q132" s="7">
        <v>7.32</v>
      </c>
      <c r="R132" s="7">
        <v>0.75</v>
      </c>
      <c r="S132" s="7">
        <v>4500</v>
      </c>
      <c r="T132" s="7">
        <v>4</v>
      </c>
      <c r="U132" s="6">
        <v>8</v>
      </c>
      <c r="V132"/>
    </row>
    <row r="133" spans="4:22" ht="16.5" hidden="1" customHeight="1" x14ac:dyDescent="0.25">
      <c r="D133" s="3" t="s">
        <v>81</v>
      </c>
      <c r="E133" s="7"/>
      <c r="F133" s="7">
        <v>11</v>
      </c>
      <c r="G133" s="7">
        <v>6.74</v>
      </c>
      <c r="H133" s="7">
        <v>48</v>
      </c>
      <c r="I133" s="7">
        <v>4</v>
      </c>
      <c r="J133" s="7">
        <v>8</v>
      </c>
      <c r="K133" s="10">
        <v>128</v>
      </c>
      <c r="L133" s="7">
        <v>256</v>
      </c>
      <c r="M133" s="31">
        <v>8</v>
      </c>
      <c r="N133" s="7">
        <v>4</v>
      </c>
      <c r="O133" s="7">
        <v>198</v>
      </c>
      <c r="P133" s="7">
        <v>16.7</v>
      </c>
      <c r="Q133" s="7">
        <v>7.72</v>
      </c>
      <c r="R133" s="7">
        <v>0.86</v>
      </c>
      <c r="S133" s="7">
        <v>5000</v>
      </c>
      <c r="T133" s="7">
        <v>4</v>
      </c>
      <c r="U133" s="6">
        <v>16</v>
      </c>
      <c r="V133"/>
    </row>
    <row r="134" spans="4:22" ht="16.5" hidden="1" customHeight="1" x14ac:dyDescent="0.25">
      <c r="D134" s="3" t="s">
        <v>92</v>
      </c>
      <c r="E134" s="7"/>
      <c r="F134" s="7">
        <v>11</v>
      </c>
      <c r="G134" s="7">
        <v>6.78</v>
      </c>
      <c r="H134" s="7">
        <v>108</v>
      </c>
      <c r="I134" s="7">
        <v>4</v>
      </c>
      <c r="J134" s="7">
        <v>16</v>
      </c>
      <c r="K134" s="10">
        <v>128</v>
      </c>
      <c r="L134" s="7">
        <v>256</v>
      </c>
      <c r="M134" s="31">
        <v>8</v>
      </c>
      <c r="N134" s="7">
        <v>6</v>
      </c>
      <c r="O134" s="7">
        <v>191</v>
      </c>
      <c r="P134" s="7">
        <v>16.399999999999999</v>
      </c>
      <c r="Q134" s="7">
        <v>7.56</v>
      </c>
      <c r="R134" s="7">
        <v>0.79</v>
      </c>
      <c r="S134" s="7">
        <v>4000</v>
      </c>
      <c r="T134" s="7">
        <v>4.5</v>
      </c>
      <c r="U134" s="6">
        <v>23</v>
      </c>
      <c r="V134"/>
    </row>
    <row r="135" spans="4:22" ht="16.5" hidden="1" customHeight="1" x14ac:dyDescent="0.25">
      <c r="D135" s="3" t="s">
        <v>77</v>
      </c>
      <c r="E135" s="7"/>
      <c r="F135" s="7">
        <v>12</v>
      </c>
      <c r="G135" s="7">
        <v>6.6</v>
      </c>
      <c r="H135" s="7">
        <v>50</v>
      </c>
      <c r="I135" s="7">
        <v>4</v>
      </c>
      <c r="J135" s="7">
        <v>8</v>
      </c>
      <c r="K135" s="10">
        <v>128</v>
      </c>
      <c r="L135" s="7">
        <v>256</v>
      </c>
      <c r="M135" s="31">
        <v>8</v>
      </c>
      <c r="N135" s="7">
        <v>6</v>
      </c>
      <c r="O135" s="7">
        <v>195</v>
      </c>
      <c r="P135" s="7">
        <v>16.399999999999999</v>
      </c>
      <c r="Q135" s="7">
        <v>7.69</v>
      </c>
      <c r="R135" s="7">
        <v>0.84</v>
      </c>
      <c r="S135" s="7">
        <v>5000</v>
      </c>
      <c r="T135" s="7">
        <v>4</v>
      </c>
      <c r="U135" s="6">
        <v>59</v>
      </c>
      <c r="V135"/>
    </row>
    <row r="136" spans="4:22" ht="16.5" hidden="1" customHeight="1" x14ac:dyDescent="0.25">
      <c r="D136" s="3" t="s">
        <v>28</v>
      </c>
      <c r="E136" s="7"/>
      <c r="F136" s="7">
        <v>11</v>
      </c>
      <c r="G136" s="7">
        <v>6.5</v>
      </c>
      <c r="H136" s="7">
        <v>64</v>
      </c>
      <c r="I136" s="7">
        <v>4</v>
      </c>
      <c r="J136" s="7">
        <v>32</v>
      </c>
      <c r="K136" s="10">
        <v>128</v>
      </c>
      <c r="L136" s="7">
        <v>256</v>
      </c>
      <c r="M136" s="31">
        <v>8</v>
      </c>
      <c r="N136" s="7">
        <v>6</v>
      </c>
      <c r="O136" s="7">
        <v>189</v>
      </c>
      <c r="P136" s="7">
        <v>15.9</v>
      </c>
      <c r="Q136" s="7">
        <v>7.51</v>
      </c>
      <c r="R136" s="7">
        <v>0.84</v>
      </c>
      <c r="S136" s="7">
        <v>4500</v>
      </c>
      <c r="T136" s="7">
        <v>5</v>
      </c>
      <c r="U136" s="6">
        <v>65</v>
      </c>
      <c r="V136"/>
    </row>
    <row r="137" spans="4:22" ht="16.5" hidden="1" customHeight="1" x14ac:dyDescent="0.25">
      <c r="D137" s="3" t="s">
        <v>56</v>
      </c>
      <c r="E137" s="7"/>
      <c r="F137" s="7">
        <v>11</v>
      </c>
      <c r="G137" s="7">
        <v>6.43</v>
      </c>
      <c r="H137" s="7">
        <v>50</v>
      </c>
      <c r="I137" s="7">
        <v>4</v>
      </c>
      <c r="J137" s="7">
        <v>13</v>
      </c>
      <c r="K137" s="10">
        <v>128</v>
      </c>
      <c r="L137" s="7">
        <v>256</v>
      </c>
      <c r="M137" s="31">
        <v>8</v>
      </c>
      <c r="N137" s="11">
        <v>4</v>
      </c>
      <c r="O137" s="7">
        <v>179</v>
      </c>
      <c r="P137" s="7">
        <v>15.9</v>
      </c>
      <c r="Q137" s="7">
        <v>7.39</v>
      </c>
      <c r="R137" s="7">
        <v>0.81</v>
      </c>
      <c r="S137" s="7">
        <v>5000</v>
      </c>
      <c r="T137" s="7">
        <v>4.5</v>
      </c>
      <c r="U137" s="6">
        <v>115</v>
      </c>
      <c r="V137"/>
    </row>
    <row r="138" spans="4:22" ht="16.5" hidden="1" customHeight="1" x14ac:dyDescent="0.25">
      <c r="D138" s="3" t="s">
        <v>79</v>
      </c>
      <c r="E138" s="7"/>
      <c r="F138" s="7">
        <v>12</v>
      </c>
      <c r="G138" s="7">
        <v>6.5</v>
      </c>
      <c r="H138" s="7">
        <v>48</v>
      </c>
      <c r="I138" s="7">
        <v>4</v>
      </c>
      <c r="J138" s="7">
        <v>13</v>
      </c>
      <c r="K138" s="10">
        <v>128</v>
      </c>
      <c r="L138" s="7">
        <v>256</v>
      </c>
      <c r="M138" s="31">
        <v>8</v>
      </c>
      <c r="N138" s="7">
        <v>6</v>
      </c>
      <c r="O138" s="7">
        <v>186</v>
      </c>
      <c r="P138" s="7">
        <v>16.899999999999999</v>
      </c>
      <c r="Q138" s="7">
        <v>7.5</v>
      </c>
      <c r="R138" s="7">
        <v>0.81</v>
      </c>
      <c r="S138" s="7">
        <v>5000</v>
      </c>
      <c r="T138" s="7">
        <v>5</v>
      </c>
      <c r="U138" s="6">
        <v>62</v>
      </c>
      <c r="V138"/>
    </row>
    <row r="139" spans="4:22" ht="16.5" hidden="1" customHeight="1" x14ac:dyDescent="0.25">
      <c r="D139" s="3" t="s">
        <v>85</v>
      </c>
      <c r="E139" s="7"/>
      <c r="F139" s="7">
        <v>11</v>
      </c>
      <c r="G139" s="7">
        <v>6.44</v>
      </c>
      <c r="H139" s="7">
        <v>64</v>
      </c>
      <c r="I139" s="7">
        <v>3</v>
      </c>
      <c r="J139" s="7">
        <v>44</v>
      </c>
      <c r="K139" s="8">
        <v>128</v>
      </c>
      <c r="L139" s="7">
        <v>256</v>
      </c>
      <c r="M139" s="31">
        <v>8</v>
      </c>
      <c r="N139" s="7">
        <v>8</v>
      </c>
      <c r="O139" s="7">
        <v>176</v>
      </c>
      <c r="P139" s="7">
        <v>15.9</v>
      </c>
      <c r="Q139" s="7">
        <v>7.39</v>
      </c>
      <c r="R139" s="7">
        <v>0.73</v>
      </c>
      <c r="S139" s="7">
        <v>4000</v>
      </c>
      <c r="T139" s="7">
        <v>5</v>
      </c>
      <c r="U139" s="6">
        <v>86</v>
      </c>
      <c r="V139"/>
    </row>
    <row r="140" spans="4:22" ht="16.5" hidden="1" customHeight="1" x14ac:dyDescent="0.25">
      <c r="D140" s="3" t="s">
        <v>71</v>
      </c>
      <c r="E140" s="7"/>
      <c r="F140" s="7">
        <v>12</v>
      </c>
      <c r="G140" s="7">
        <v>6.5</v>
      </c>
      <c r="H140" s="7">
        <v>64</v>
      </c>
      <c r="I140" s="7">
        <v>4</v>
      </c>
      <c r="J140" s="7">
        <v>32</v>
      </c>
      <c r="K140" s="10">
        <v>128</v>
      </c>
      <c r="L140" s="7">
        <v>256</v>
      </c>
      <c r="M140" s="31">
        <v>8</v>
      </c>
      <c r="N140" s="7">
        <v>6</v>
      </c>
      <c r="O140" s="7">
        <v>189</v>
      </c>
      <c r="P140" s="7">
        <v>15.9</v>
      </c>
      <c r="Q140" s="7">
        <v>7.48</v>
      </c>
      <c r="R140" s="7">
        <v>0.81</v>
      </c>
      <c r="S140" s="7">
        <v>5000</v>
      </c>
      <c r="T140" s="7">
        <v>5</v>
      </c>
      <c r="U140" s="6">
        <v>66</v>
      </c>
      <c r="V140"/>
    </row>
    <row r="141" spans="4:22" ht="16.5" hidden="1" customHeight="1" x14ac:dyDescent="0.25">
      <c r="D141" s="3" t="s">
        <v>96</v>
      </c>
      <c r="E141" s="7"/>
      <c r="F141" s="7">
        <v>11</v>
      </c>
      <c r="G141" s="7">
        <v>6.6</v>
      </c>
      <c r="H141" s="7">
        <v>50</v>
      </c>
      <c r="I141" s="7">
        <v>3</v>
      </c>
      <c r="J141" s="7">
        <v>13</v>
      </c>
      <c r="K141" s="10">
        <v>128</v>
      </c>
      <c r="L141" s="7">
        <v>256</v>
      </c>
      <c r="M141" s="31">
        <v>8</v>
      </c>
      <c r="N141" s="7">
        <v>4</v>
      </c>
      <c r="O141" s="7">
        <v>195</v>
      </c>
      <c r="P141" s="7">
        <v>16.3</v>
      </c>
      <c r="Q141" s="7">
        <v>7.58</v>
      </c>
      <c r="R141" s="7">
        <v>0.88</v>
      </c>
      <c r="S141" s="7">
        <v>5000</v>
      </c>
      <c r="T141" s="7">
        <v>5</v>
      </c>
      <c r="U141" s="6">
        <v>101</v>
      </c>
      <c r="V141"/>
    </row>
    <row r="142" spans="4:22" ht="16.5" hidden="1" customHeight="1" x14ac:dyDescent="0.25">
      <c r="D142" s="3" t="s">
        <v>58</v>
      </c>
      <c r="E142" s="7"/>
      <c r="F142" s="7">
        <v>11</v>
      </c>
      <c r="G142" s="7">
        <v>6.6</v>
      </c>
      <c r="H142" s="7">
        <v>64</v>
      </c>
      <c r="I142" s="7">
        <v>4</v>
      </c>
      <c r="J142" s="7">
        <v>13</v>
      </c>
      <c r="K142" s="8">
        <v>256</v>
      </c>
      <c r="L142" s="7">
        <v>256</v>
      </c>
      <c r="M142" s="31">
        <v>8</v>
      </c>
      <c r="N142" s="7">
        <v>8</v>
      </c>
      <c r="O142" s="7">
        <v>195</v>
      </c>
      <c r="P142" s="7">
        <v>15.8</v>
      </c>
      <c r="Q142" s="7">
        <v>7.28</v>
      </c>
      <c r="R142" s="7">
        <v>0.85</v>
      </c>
      <c r="S142" s="7">
        <v>4360</v>
      </c>
      <c r="T142" s="7">
        <v>4.5</v>
      </c>
      <c r="U142" s="6">
        <v>26</v>
      </c>
      <c r="V142"/>
    </row>
    <row r="143" spans="4:22" ht="16.5" hidden="1" customHeight="1" x14ac:dyDescent="0.25">
      <c r="D143" s="3" t="s">
        <v>196</v>
      </c>
      <c r="E143" s="7"/>
      <c r="F143" s="7">
        <v>13</v>
      </c>
      <c r="G143" s="7" t="s">
        <v>197</v>
      </c>
      <c r="H143" s="7" t="s">
        <v>198</v>
      </c>
      <c r="I143" s="7">
        <v>3</v>
      </c>
      <c r="J143" s="7" t="s">
        <v>199</v>
      </c>
      <c r="K143" s="10">
        <v>128</v>
      </c>
      <c r="L143" s="7">
        <v>512</v>
      </c>
      <c r="M143" s="31" t="s">
        <v>249</v>
      </c>
      <c r="N143" s="7">
        <v>8</v>
      </c>
      <c r="O143" s="7">
        <v>184</v>
      </c>
      <c r="P143" s="7">
        <v>16.3</v>
      </c>
      <c r="Q143" s="7" t="s">
        <v>200</v>
      </c>
      <c r="R143" s="7">
        <v>0.82</v>
      </c>
      <c r="S143" s="7" t="s">
        <v>255</v>
      </c>
      <c r="T143" s="7">
        <v>4</v>
      </c>
      <c r="U143" s="6">
        <v>39</v>
      </c>
      <c r="V143"/>
    </row>
    <row r="144" spans="4:22" ht="16.5" hidden="1" customHeight="1" x14ac:dyDescent="0.25">
      <c r="D144" s="3" t="s">
        <v>25</v>
      </c>
      <c r="E144" s="7"/>
      <c r="F144" s="7">
        <v>11</v>
      </c>
      <c r="G144" s="7">
        <v>6.4</v>
      </c>
      <c r="H144" s="7">
        <v>48</v>
      </c>
      <c r="I144" s="7">
        <v>4</v>
      </c>
      <c r="J144" s="7">
        <v>13</v>
      </c>
      <c r="K144" s="8">
        <v>64</v>
      </c>
      <c r="L144" s="7">
        <v>512</v>
      </c>
      <c r="M144" s="31">
        <v>8</v>
      </c>
      <c r="N144" s="7">
        <v>4</v>
      </c>
      <c r="O144" s="7">
        <v>186</v>
      </c>
      <c r="P144" s="7">
        <v>15.9</v>
      </c>
      <c r="Q144" s="7">
        <v>7.36</v>
      </c>
      <c r="R144" s="7">
        <v>0.84</v>
      </c>
      <c r="S144" s="7">
        <v>5000</v>
      </c>
      <c r="T144" s="7">
        <v>4</v>
      </c>
      <c r="U144" s="6">
        <v>58</v>
      </c>
      <c r="V144"/>
    </row>
    <row r="145" spans="4:22" ht="16.5" hidden="1" customHeight="1" x14ac:dyDescent="0.25">
      <c r="D145" s="3" t="s">
        <v>26</v>
      </c>
      <c r="E145" s="7"/>
      <c r="F145" s="7">
        <v>11</v>
      </c>
      <c r="G145" s="7">
        <v>6.4</v>
      </c>
      <c r="H145" s="7">
        <v>64</v>
      </c>
      <c r="I145" s="7">
        <v>4</v>
      </c>
      <c r="J145" s="7">
        <v>20</v>
      </c>
      <c r="K145" s="8">
        <v>128</v>
      </c>
      <c r="L145" s="7">
        <v>512</v>
      </c>
      <c r="M145" s="31">
        <v>8</v>
      </c>
      <c r="N145" s="7">
        <v>4</v>
      </c>
      <c r="O145" s="7">
        <v>184</v>
      </c>
      <c r="P145" s="7">
        <v>15.8</v>
      </c>
      <c r="Q145" s="7">
        <v>7.36</v>
      </c>
      <c r="R145" s="7">
        <v>0.84</v>
      </c>
      <c r="S145" s="7">
        <v>5000</v>
      </c>
      <c r="T145" s="7">
        <v>4</v>
      </c>
      <c r="U145" s="6">
        <v>61</v>
      </c>
      <c r="V145"/>
    </row>
    <row r="146" spans="4:22" ht="18" hidden="1" customHeight="1" x14ac:dyDescent="0.25">
      <c r="D146" s="25" t="s">
        <v>38</v>
      </c>
      <c r="E146" s="26"/>
      <c r="F146" s="26">
        <v>11</v>
      </c>
      <c r="G146" s="26">
        <v>6.43</v>
      </c>
      <c r="H146" s="26">
        <v>64</v>
      </c>
      <c r="I146" s="26">
        <v>4</v>
      </c>
      <c r="J146" s="26">
        <v>13</v>
      </c>
      <c r="K146" s="28">
        <v>128</v>
      </c>
      <c r="L146" s="26">
        <v>512</v>
      </c>
      <c r="M146" s="33">
        <v>8</v>
      </c>
      <c r="N146" s="26">
        <v>6</v>
      </c>
      <c r="O146" s="26">
        <v>178</v>
      </c>
      <c r="P146" s="26">
        <v>16</v>
      </c>
      <c r="Q146" s="26">
        <v>7.45</v>
      </c>
      <c r="R146" s="26">
        <v>0.83</v>
      </c>
      <c r="S146" s="26">
        <v>5000</v>
      </c>
      <c r="T146" s="7">
        <v>4</v>
      </c>
      <c r="U146" s="6">
        <v>113</v>
      </c>
      <c r="V146"/>
    </row>
    <row r="147" spans="4:22" ht="18" hidden="1" customHeight="1" x14ac:dyDescent="0.25">
      <c r="D147" s="25" t="s">
        <v>27</v>
      </c>
      <c r="E147" s="26"/>
      <c r="F147" s="26">
        <v>11</v>
      </c>
      <c r="G147" s="26">
        <v>6.5</v>
      </c>
      <c r="H147" s="26">
        <v>64</v>
      </c>
      <c r="I147" s="26">
        <v>4</v>
      </c>
      <c r="J147" s="26">
        <v>32</v>
      </c>
      <c r="K147" s="28">
        <v>128</v>
      </c>
      <c r="L147" s="26">
        <v>512</v>
      </c>
      <c r="M147" s="33">
        <v>8</v>
      </c>
      <c r="N147" s="26">
        <v>4</v>
      </c>
      <c r="O147" s="26">
        <v>189</v>
      </c>
      <c r="P147" s="26">
        <v>15.9</v>
      </c>
      <c r="Q147" s="26">
        <v>7.51</v>
      </c>
      <c r="R147" s="26">
        <v>0.84</v>
      </c>
      <c r="S147" s="26">
        <v>4500</v>
      </c>
      <c r="T147" s="7">
        <v>4</v>
      </c>
      <c r="U147" s="6">
        <v>64</v>
      </c>
      <c r="V147"/>
    </row>
    <row r="148" spans="4:22" ht="18" hidden="1" customHeight="1" x14ac:dyDescent="0.25">
      <c r="D148" s="25" t="s">
        <v>65</v>
      </c>
      <c r="E148" s="26"/>
      <c r="F148" s="26">
        <v>10</v>
      </c>
      <c r="G148" s="26">
        <v>6.53</v>
      </c>
      <c r="H148" s="26">
        <v>13</v>
      </c>
      <c r="I148" s="26">
        <v>3</v>
      </c>
      <c r="J148" s="26">
        <v>5</v>
      </c>
      <c r="K148" s="28">
        <v>64</v>
      </c>
      <c r="L148" s="26">
        <v>512</v>
      </c>
      <c r="M148" s="33">
        <v>8</v>
      </c>
      <c r="N148" s="26">
        <v>2</v>
      </c>
      <c r="O148" s="26">
        <v>196</v>
      </c>
      <c r="P148" s="26">
        <v>16.399999999999999</v>
      </c>
      <c r="Q148" s="26">
        <v>7.07</v>
      </c>
      <c r="R148" s="26">
        <v>0.9</v>
      </c>
      <c r="S148" s="26">
        <v>5000</v>
      </c>
      <c r="T148" s="7">
        <v>4</v>
      </c>
      <c r="U148" s="6">
        <v>108</v>
      </c>
      <c r="V148"/>
    </row>
    <row r="149" spans="4:22" ht="18" hidden="1" customHeight="1" x14ac:dyDescent="0.25">
      <c r="D149" s="25" t="s">
        <v>37</v>
      </c>
      <c r="E149" s="26"/>
      <c r="F149" s="26">
        <v>11</v>
      </c>
      <c r="G149" s="26">
        <v>6.67</v>
      </c>
      <c r="H149" s="26">
        <v>108</v>
      </c>
      <c r="I149" s="26">
        <v>4</v>
      </c>
      <c r="J149" s="26">
        <v>16</v>
      </c>
      <c r="K149" s="28">
        <v>128</v>
      </c>
      <c r="L149" s="26">
        <v>512</v>
      </c>
      <c r="M149" s="33">
        <v>8</v>
      </c>
      <c r="N149" s="26">
        <v>8</v>
      </c>
      <c r="O149" s="26">
        <v>193</v>
      </c>
      <c r="P149" s="26">
        <v>16.399999999999999</v>
      </c>
      <c r="Q149" s="26">
        <v>7.65</v>
      </c>
      <c r="R149" s="26">
        <v>0.81</v>
      </c>
      <c r="S149" s="26">
        <v>5030</v>
      </c>
      <c r="T149" s="7">
        <v>4.5</v>
      </c>
      <c r="U149" s="6">
        <v>112</v>
      </c>
      <c r="V149"/>
    </row>
    <row r="150" spans="4:22" ht="19.5" hidden="1" customHeight="1" x14ac:dyDescent="0.25">
      <c r="D150" s="25" t="s">
        <v>191</v>
      </c>
      <c r="E150" s="26"/>
      <c r="F150" s="26">
        <v>12</v>
      </c>
      <c r="G150" s="26" t="s">
        <v>194</v>
      </c>
      <c r="H150" s="26" t="s">
        <v>168</v>
      </c>
      <c r="I150" s="26">
        <v>3</v>
      </c>
      <c r="J150" s="26">
        <v>5</v>
      </c>
      <c r="K150" s="28">
        <v>64</v>
      </c>
      <c r="L150" s="26">
        <v>1024</v>
      </c>
      <c r="M150" s="33">
        <v>8</v>
      </c>
      <c r="N150" s="26">
        <v>3</v>
      </c>
      <c r="O150" s="26">
        <v>195</v>
      </c>
      <c r="P150" s="26">
        <v>16.5</v>
      </c>
      <c r="Q150" s="26">
        <v>7.67</v>
      </c>
      <c r="R150" s="26">
        <v>0.91</v>
      </c>
      <c r="S150" s="26">
        <v>5000</v>
      </c>
      <c r="T150" s="7">
        <v>4</v>
      </c>
      <c r="U150" s="6">
        <v>54</v>
      </c>
      <c r="V150"/>
    </row>
    <row r="151" spans="4:22" ht="19.5" hidden="1" customHeight="1" x14ac:dyDescent="0.25">
      <c r="D151" s="25" t="s">
        <v>133</v>
      </c>
      <c r="E151" s="26"/>
      <c r="F151" s="26">
        <v>12</v>
      </c>
      <c r="G151" s="26">
        <v>6.52</v>
      </c>
      <c r="H151" s="26">
        <v>8</v>
      </c>
      <c r="I151" s="26">
        <v>2</v>
      </c>
      <c r="J151" s="26">
        <v>5</v>
      </c>
      <c r="K151" s="28">
        <v>32</v>
      </c>
      <c r="L151" s="26">
        <v>1024</v>
      </c>
      <c r="M151" s="33">
        <v>8</v>
      </c>
      <c r="N151" s="26">
        <v>2</v>
      </c>
      <c r="O151" s="26">
        <v>192</v>
      </c>
      <c r="P151" s="26">
        <v>16.5</v>
      </c>
      <c r="Q151" s="26">
        <v>7.68</v>
      </c>
      <c r="R151" s="26">
        <v>0.91</v>
      </c>
      <c r="S151" s="26">
        <v>5000</v>
      </c>
      <c r="T151" s="7">
        <v>4</v>
      </c>
      <c r="U151" s="6">
        <v>109</v>
      </c>
      <c r="V151"/>
    </row>
    <row r="152" spans="4:22" ht="16.5" hidden="1" customHeight="1" x14ac:dyDescent="0.25">
      <c r="D152" s="25" t="s">
        <v>135</v>
      </c>
      <c r="E152" s="26"/>
      <c r="F152" s="26">
        <v>11</v>
      </c>
      <c r="G152" s="26">
        <v>6.74</v>
      </c>
      <c r="H152" s="26">
        <v>48</v>
      </c>
      <c r="I152" s="26">
        <v>3</v>
      </c>
      <c r="J152" s="26">
        <v>8</v>
      </c>
      <c r="K152" s="28">
        <v>128</v>
      </c>
      <c r="L152" s="26">
        <v>1024</v>
      </c>
      <c r="M152" s="33">
        <v>8</v>
      </c>
      <c r="N152" s="26">
        <v>4</v>
      </c>
      <c r="O152" s="26">
        <v>214</v>
      </c>
      <c r="P152" s="26">
        <v>16.600000000000001</v>
      </c>
      <c r="Q152" s="26">
        <v>7.75</v>
      </c>
      <c r="R152" s="26">
        <v>0.94</v>
      </c>
      <c r="S152" s="26">
        <v>6000</v>
      </c>
      <c r="T152" s="7">
        <v>4</v>
      </c>
      <c r="U152" s="6">
        <v>127</v>
      </c>
      <c r="V152"/>
    </row>
    <row r="153" spans="4:22" ht="14.25" hidden="1" customHeight="1" x14ac:dyDescent="0.25">
      <c r="D153" s="25" t="s">
        <v>203</v>
      </c>
      <c r="E153" s="26"/>
      <c r="F153" s="26">
        <v>13</v>
      </c>
      <c r="G153" s="26" t="s">
        <v>208</v>
      </c>
      <c r="H153" s="26" t="s">
        <v>209</v>
      </c>
      <c r="I153" s="26">
        <v>3</v>
      </c>
      <c r="J153" s="26" t="s">
        <v>210</v>
      </c>
      <c r="K153" s="28">
        <v>128</v>
      </c>
      <c r="L153" s="26">
        <v>1024</v>
      </c>
      <c r="M153" s="33" t="s">
        <v>250</v>
      </c>
      <c r="N153" s="26">
        <v>6</v>
      </c>
      <c r="O153" s="26">
        <v>199</v>
      </c>
      <c r="P153" s="26">
        <v>16.100000000000001</v>
      </c>
      <c r="Q153" s="26">
        <v>7.81</v>
      </c>
      <c r="R153" s="26">
        <v>0.82</v>
      </c>
      <c r="S153" s="26">
        <v>5000</v>
      </c>
      <c r="T153" s="7">
        <v>4.5</v>
      </c>
      <c r="U153" s="6">
        <v>63</v>
      </c>
      <c r="V153"/>
    </row>
    <row r="154" spans="4:22" ht="15.75" hidden="1" customHeight="1" x14ac:dyDescent="0.25">
      <c r="D154" s="25" t="s">
        <v>190</v>
      </c>
      <c r="E154" s="26"/>
      <c r="F154" s="26">
        <v>12</v>
      </c>
      <c r="G154" s="26" t="s">
        <v>234</v>
      </c>
      <c r="H154" s="26" t="s">
        <v>168</v>
      </c>
      <c r="I154" s="26">
        <v>2</v>
      </c>
      <c r="J154" s="26" t="s">
        <v>195</v>
      </c>
      <c r="K154" s="28">
        <v>128</v>
      </c>
      <c r="L154" s="26">
        <v>1024</v>
      </c>
      <c r="M154" s="33" t="s">
        <v>193</v>
      </c>
      <c r="N154" s="26">
        <v>4</v>
      </c>
      <c r="O154" s="26">
        <v>188</v>
      </c>
      <c r="P154" s="26">
        <v>16.399999999999999</v>
      </c>
      <c r="Q154" s="26">
        <v>7.51</v>
      </c>
      <c r="R154" s="26">
        <v>0.8</v>
      </c>
      <c r="S154" s="26" t="s">
        <v>252</v>
      </c>
      <c r="T154" s="7">
        <v>5</v>
      </c>
      <c r="U154" s="6">
        <v>5</v>
      </c>
      <c r="V154"/>
    </row>
    <row r="155" spans="4:22" ht="20.25" hidden="1" customHeight="1" x14ac:dyDescent="0.25">
      <c r="D155" s="25" t="s">
        <v>87</v>
      </c>
      <c r="E155" s="26"/>
      <c r="F155" s="26">
        <v>11</v>
      </c>
      <c r="G155" s="26">
        <v>6.71</v>
      </c>
      <c r="H155" s="26">
        <v>50</v>
      </c>
      <c r="I155" s="26">
        <v>2</v>
      </c>
      <c r="J155" s="26">
        <v>5</v>
      </c>
      <c r="K155" s="28">
        <v>64</v>
      </c>
      <c r="L155" s="26">
        <v>1024</v>
      </c>
      <c r="M155" s="33">
        <v>8</v>
      </c>
      <c r="N155" s="26">
        <v>4</v>
      </c>
      <c r="O155" s="26">
        <v>190</v>
      </c>
      <c r="P155" s="26">
        <v>16.899999999999999</v>
      </c>
      <c r="Q155" s="26">
        <v>7.66</v>
      </c>
      <c r="R155" s="26">
        <v>0.83</v>
      </c>
      <c r="S155" s="26">
        <v>5000</v>
      </c>
      <c r="T155" s="7">
        <v>4</v>
      </c>
      <c r="U155" s="6">
        <v>105</v>
      </c>
      <c r="V155"/>
    </row>
    <row r="156" spans="4:22" ht="26.25" hidden="1" customHeight="1" x14ac:dyDescent="0.25">
      <c r="D156" s="25" t="s">
        <v>202</v>
      </c>
      <c r="E156" s="26"/>
      <c r="F156" s="26">
        <v>13</v>
      </c>
      <c r="G156" s="26" t="s">
        <v>241</v>
      </c>
      <c r="H156" s="26">
        <v>50</v>
      </c>
      <c r="I156" s="26">
        <v>3</v>
      </c>
      <c r="J156" s="26">
        <v>13</v>
      </c>
      <c r="K156" s="28">
        <v>128</v>
      </c>
      <c r="L156" s="26">
        <v>1024</v>
      </c>
      <c r="M156" s="33" t="s">
        <v>206</v>
      </c>
      <c r="N156" s="26">
        <v>4</v>
      </c>
      <c r="O156" s="26">
        <v>202</v>
      </c>
      <c r="P156" s="26">
        <v>16.77</v>
      </c>
      <c r="Q156" s="26">
        <v>7.8</v>
      </c>
      <c r="R156" s="26">
        <v>0.91</v>
      </c>
      <c r="S156" s="26">
        <v>5000</v>
      </c>
      <c r="T156" s="7">
        <v>5</v>
      </c>
      <c r="U156" s="6">
        <v>56</v>
      </c>
      <c r="V156"/>
    </row>
    <row r="157" spans="4:22" ht="20.25" hidden="1" customHeight="1" x14ac:dyDescent="0.25">
      <c r="D157" s="25" t="s">
        <v>166</v>
      </c>
      <c r="E157" s="26"/>
      <c r="F157" s="26">
        <v>12</v>
      </c>
      <c r="G157" s="26" t="s">
        <v>236</v>
      </c>
      <c r="H157" s="26" t="s">
        <v>168</v>
      </c>
      <c r="I157" s="26">
        <v>3</v>
      </c>
      <c r="J157" s="26" t="s">
        <v>169</v>
      </c>
      <c r="K157" s="26">
        <v>128</v>
      </c>
      <c r="L157" s="26">
        <v>1024</v>
      </c>
      <c r="M157" s="33" t="s">
        <v>245</v>
      </c>
      <c r="N157" s="26">
        <v>4</v>
      </c>
      <c r="O157" s="26">
        <v>194</v>
      </c>
      <c r="P157" s="26">
        <v>16.399999999999999</v>
      </c>
      <c r="Q157" s="26">
        <v>7.51</v>
      </c>
      <c r="R157" s="26">
        <v>0.86</v>
      </c>
      <c r="S157" s="26">
        <v>5000</v>
      </c>
      <c r="T157" s="7">
        <v>4</v>
      </c>
      <c r="U157" s="6">
        <v>15</v>
      </c>
      <c r="V157"/>
    </row>
    <row r="158" spans="4:22" ht="20.25" hidden="1" customHeight="1" x14ac:dyDescent="0.25">
      <c r="D158" s="25" t="s">
        <v>171</v>
      </c>
      <c r="E158" s="26"/>
      <c r="F158" s="26">
        <v>12</v>
      </c>
      <c r="G158" s="26" t="s">
        <v>240</v>
      </c>
      <c r="H158" s="26">
        <v>16</v>
      </c>
      <c r="I158" s="26">
        <v>2</v>
      </c>
      <c r="J158" s="26">
        <v>5</v>
      </c>
      <c r="K158" s="34">
        <v>64</v>
      </c>
      <c r="L158" s="26">
        <v>1024</v>
      </c>
      <c r="M158" s="33" t="s">
        <v>247</v>
      </c>
      <c r="N158" s="26">
        <v>4</v>
      </c>
      <c r="O158" s="26">
        <v>169</v>
      </c>
      <c r="P158" s="26">
        <v>16.399999999999999</v>
      </c>
      <c r="Q158" s="26">
        <v>7.47</v>
      </c>
      <c r="R158" s="26">
        <v>0.8</v>
      </c>
      <c r="S158" s="26">
        <v>4020</v>
      </c>
      <c r="T158" s="7">
        <v>4</v>
      </c>
      <c r="U158" s="6">
        <v>33</v>
      </c>
      <c r="V158"/>
    </row>
    <row r="159" spans="4:22" ht="18" hidden="1" customHeight="1" x14ac:dyDescent="0.25">
      <c r="D159" s="25" t="s">
        <v>167</v>
      </c>
      <c r="E159" s="26"/>
      <c r="F159" s="26">
        <v>12</v>
      </c>
      <c r="G159" s="26" t="s">
        <v>237</v>
      </c>
      <c r="H159" s="26" t="s">
        <v>168</v>
      </c>
      <c r="I159" s="26">
        <v>3</v>
      </c>
      <c r="J159" s="26" t="s">
        <v>170</v>
      </c>
      <c r="K159" s="26">
        <v>128</v>
      </c>
      <c r="L159" s="26">
        <v>1024</v>
      </c>
      <c r="M159" s="33" t="s">
        <v>247</v>
      </c>
      <c r="N159" s="26">
        <v>4</v>
      </c>
      <c r="O159" s="26">
        <v>198</v>
      </c>
      <c r="P159" s="26">
        <v>16.760000000000002</v>
      </c>
      <c r="Q159" s="26">
        <v>7.72</v>
      </c>
      <c r="R159" s="26">
        <v>0.86</v>
      </c>
      <c r="S159" s="26" t="s">
        <v>253</v>
      </c>
      <c r="T159" s="7">
        <v>4</v>
      </c>
      <c r="U159" s="6">
        <v>18</v>
      </c>
      <c r="V159"/>
    </row>
    <row r="160" spans="4:22" hidden="1" x14ac:dyDescent="0.25">
      <c r="D160" s="25" t="s">
        <v>216</v>
      </c>
      <c r="E160" s="26"/>
      <c r="F160" s="26">
        <v>13</v>
      </c>
      <c r="G160" s="26" t="s">
        <v>220</v>
      </c>
      <c r="H160" s="26">
        <v>50</v>
      </c>
      <c r="I160" s="26">
        <v>3</v>
      </c>
      <c r="J160" s="26">
        <v>13</v>
      </c>
      <c r="K160" s="26">
        <v>128</v>
      </c>
      <c r="L160" s="26">
        <v>1024</v>
      </c>
      <c r="M160" s="33">
        <v>8</v>
      </c>
      <c r="N160" s="26">
        <v>6</v>
      </c>
      <c r="O160" s="26">
        <v>195</v>
      </c>
      <c r="P160" s="26">
        <v>16.2</v>
      </c>
      <c r="Q160" s="26">
        <v>7.76</v>
      </c>
      <c r="R160" s="26">
        <v>0.83</v>
      </c>
      <c r="S160" s="26">
        <v>5000</v>
      </c>
      <c r="T160" s="7">
        <v>4</v>
      </c>
      <c r="U160" s="6">
        <v>60</v>
      </c>
      <c r="V160"/>
    </row>
    <row r="161" spans="4:22" hidden="1" x14ac:dyDescent="0.25">
      <c r="D161" s="25" t="s">
        <v>204</v>
      </c>
      <c r="E161" s="26"/>
      <c r="F161" s="26">
        <v>13</v>
      </c>
      <c r="G161" s="26" t="s">
        <v>211</v>
      </c>
      <c r="H161" s="26" t="s">
        <v>260</v>
      </c>
      <c r="I161" s="26">
        <v>3</v>
      </c>
      <c r="J161" s="26" t="s">
        <v>261</v>
      </c>
      <c r="K161" s="28">
        <v>256</v>
      </c>
      <c r="L161" s="26">
        <v>1024</v>
      </c>
      <c r="M161" s="33" t="s">
        <v>212</v>
      </c>
      <c r="N161" s="26">
        <v>8</v>
      </c>
      <c r="O161" s="26">
        <v>202</v>
      </c>
      <c r="P161" s="26">
        <v>15.82</v>
      </c>
      <c r="Q161" s="26">
        <v>7.67</v>
      </c>
      <c r="R161" s="26">
        <v>0.82</v>
      </c>
      <c r="S161" s="26">
        <v>5000</v>
      </c>
      <c r="T161" s="7">
        <v>4.5</v>
      </c>
      <c r="U161" s="6">
        <v>67</v>
      </c>
      <c r="V161"/>
    </row>
    <row r="162" spans="4:22" hidden="1" x14ac:dyDescent="0.25">
      <c r="D162" s="25" t="s">
        <v>82</v>
      </c>
      <c r="E162" s="26"/>
      <c r="F162" s="26">
        <v>10</v>
      </c>
      <c r="G162" s="26">
        <v>6.5</v>
      </c>
      <c r="H162" s="26">
        <v>12</v>
      </c>
      <c r="I162" s="26">
        <v>3</v>
      </c>
      <c r="J162" s="26">
        <v>32</v>
      </c>
      <c r="K162" s="27">
        <v>128</v>
      </c>
      <c r="L162" s="26">
        <v>1024</v>
      </c>
      <c r="M162" s="33">
        <v>8</v>
      </c>
      <c r="N162" s="26">
        <v>6</v>
      </c>
      <c r="O162" s="26">
        <v>190</v>
      </c>
      <c r="P162" s="26">
        <v>15.9</v>
      </c>
      <c r="Q162" s="26">
        <v>7.45</v>
      </c>
      <c r="R162" s="26">
        <v>0.84</v>
      </c>
      <c r="S162" s="26">
        <v>4500</v>
      </c>
      <c r="T162" s="7">
        <v>5</v>
      </c>
      <c r="U162" s="6">
        <v>70</v>
      </c>
      <c r="V162"/>
    </row>
    <row r="163" spans="4:22" hidden="1" x14ac:dyDescent="0.25">
      <c r="D163" s="25" t="s">
        <v>218</v>
      </c>
      <c r="E163" s="26"/>
      <c r="F163" s="26">
        <v>12</v>
      </c>
      <c r="G163" s="26">
        <v>6.52</v>
      </c>
      <c r="H163" s="26">
        <v>8</v>
      </c>
      <c r="I163" s="26">
        <v>2</v>
      </c>
      <c r="J163" s="26">
        <v>5</v>
      </c>
      <c r="K163" s="26">
        <v>32</v>
      </c>
      <c r="L163" s="26">
        <v>1024</v>
      </c>
      <c r="M163" s="33" t="s">
        <v>291</v>
      </c>
      <c r="N163" s="26">
        <v>2</v>
      </c>
      <c r="O163" s="26">
        <v>192</v>
      </c>
      <c r="P163" s="26">
        <v>16.5</v>
      </c>
      <c r="Q163" s="26">
        <v>7.68</v>
      </c>
      <c r="R163" s="26">
        <v>0.9</v>
      </c>
      <c r="S163" s="26" t="s">
        <v>222</v>
      </c>
      <c r="T163" s="7">
        <v>4</v>
      </c>
      <c r="U163" s="6">
        <v>110</v>
      </c>
      <c r="V163"/>
    </row>
    <row r="164" spans="4:22" hidden="1" x14ac:dyDescent="0.25">
      <c r="D164" s="25" t="s">
        <v>217</v>
      </c>
      <c r="E164" s="26"/>
      <c r="F164" s="26">
        <v>12</v>
      </c>
      <c r="G164" s="26" t="s">
        <v>228</v>
      </c>
      <c r="H164" s="26">
        <v>50</v>
      </c>
      <c r="I164" s="26">
        <v>2</v>
      </c>
      <c r="J164" s="26">
        <v>5</v>
      </c>
      <c r="K164" s="26">
        <v>64</v>
      </c>
      <c r="L164" s="26">
        <v>1024</v>
      </c>
      <c r="M164" s="33" t="s">
        <v>249</v>
      </c>
      <c r="N164" s="26">
        <v>4</v>
      </c>
      <c r="O164" s="26">
        <v>192</v>
      </c>
      <c r="P164" s="26">
        <v>16.88</v>
      </c>
      <c r="Q164" s="26">
        <v>7.64</v>
      </c>
      <c r="R164" s="26">
        <v>0.88</v>
      </c>
      <c r="S164" s="26" t="s">
        <v>222</v>
      </c>
      <c r="T164" s="7">
        <v>4</v>
      </c>
      <c r="U164" s="6">
        <v>106</v>
      </c>
      <c r="V164"/>
    </row>
    <row r="165" spans="4:22" hidden="1" x14ac:dyDescent="0.25">
      <c r="D165" s="25" t="s">
        <v>213</v>
      </c>
      <c r="E165" s="26"/>
      <c r="F165" s="26">
        <v>12</v>
      </c>
      <c r="G165" s="26" t="s">
        <v>223</v>
      </c>
      <c r="H165" s="26">
        <v>50</v>
      </c>
      <c r="I165" s="26">
        <v>3</v>
      </c>
      <c r="J165" s="26">
        <v>8</v>
      </c>
      <c r="K165" s="26">
        <v>128</v>
      </c>
      <c r="L165" s="26">
        <v>1024</v>
      </c>
      <c r="M165" s="33" t="s">
        <v>226</v>
      </c>
      <c r="N165" s="26">
        <v>6</v>
      </c>
      <c r="O165" s="26">
        <v>192</v>
      </c>
      <c r="P165" s="26">
        <v>16.43</v>
      </c>
      <c r="Q165" s="26">
        <v>7.61</v>
      </c>
      <c r="R165" s="26">
        <v>0.84</v>
      </c>
      <c r="S165" s="26" t="s">
        <v>224</v>
      </c>
      <c r="T165" s="7">
        <v>4</v>
      </c>
      <c r="U165" s="6">
        <v>89</v>
      </c>
      <c r="V165"/>
    </row>
    <row r="166" spans="4:22" ht="18.75" customHeight="1" x14ac:dyDescent="0.25">
      <c r="D166" s="25" t="s">
        <v>189</v>
      </c>
      <c r="E166" s="26"/>
      <c r="F166" s="26">
        <v>12</v>
      </c>
      <c r="G166" s="26" t="s">
        <v>235</v>
      </c>
      <c r="H166" s="26">
        <v>64</v>
      </c>
      <c r="I166" s="26">
        <v>3</v>
      </c>
      <c r="J166" s="26">
        <v>16</v>
      </c>
      <c r="K166" s="28">
        <v>128</v>
      </c>
      <c r="L166" s="26" t="s">
        <v>192</v>
      </c>
      <c r="M166" s="33">
        <v>8</v>
      </c>
      <c r="N166" s="26">
        <v>6</v>
      </c>
      <c r="O166" s="26">
        <v>175</v>
      </c>
      <c r="P166" s="26">
        <v>15.2</v>
      </c>
      <c r="Q166" s="26">
        <v>7.75</v>
      </c>
      <c r="R166" s="26">
        <v>0.79</v>
      </c>
      <c r="S166" s="26">
        <v>5100</v>
      </c>
      <c r="T166" s="13">
        <v>5</v>
      </c>
      <c r="U166" s="6">
        <v>13</v>
      </c>
      <c r="V166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T28"/>
  <sheetViews>
    <sheetView tabSelected="1" topLeftCell="A2" zoomScale="85" zoomScaleNormal="85" workbookViewId="0">
      <selection activeCell="L36" sqref="L36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16.140625" style="23" customWidth="1"/>
    <col min="5" max="5" width="12.5703125" bestFit="1" customWidth="1"/>
    <col min="6" max="6" width="19.42578125" bestFit="1" customWidth="1"/>
    <col min="7" max="7" width="15.140625" bestFit="1" customWidth="1"/>
    <col min="8" max="8" width="14.5703125" bestFit="1" customWidth="1"/>
    <col min="9" max="9" width="15.140625" bestFit="1" customWidth="1"/>
    <col min="10" max="10" width="14.140625" bestFit="1" customWidth="1"/>
    <col min="11" max="11" width="15" bestFit="1" customWidth="1"/>
    <col min="12" max="12" width="15.140625" bestFit="1" customWidth="1"/>
    <col min="13" max="13" width="9.85546875" bestFit="1" customWidth="1"/>
    <col min="14" max="14" width="10.42578125" bestFit="1" customWidth="1"/>
    <col min="15" max="15" width="11.42578125" bestFit="1" customWidth="1"/>
    <col min="16" max="16" width="13.140625" bestFit="1" customWidth="1"/>
    <col min="17" max="17" width="11.7109375" bestFit="1" customWidth="1"/>
    <col min="18" max="18" width="12.42578125" bestFit="1" customWidth="1"/>
    <col min="19" max="19" width="9.28515625" bestFit="1" customWidth="1"/>
    <col min="20" max="20" width="8" bestFit="1" customWidth="1"/>
  </cols>
  <sheetData>
    <row r="8" spans="1:20" s="1" customFormat="1" x14ac:dyDescent="0.25">
      <c r="A8"/>
      <c r="B8"/>
      <c r="D8" s="22"/>
    </row>
    <row r="9" spans="1:20" s="1" customFormat="1" x14ac:dyDescent="0.25">
      <c r="A9"/>
      <c r="B9"/>
      <c r="D9" s="22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</row>
    <row r="10" spans="1:20" x14ac:dyDescent="0.25">
      <c r="C10" s="1" t="s">
        <v>136</v>
      </c>
      <c r="D10" s="22" t="s">
        <v>290</v>
      </c>
      <c r="E10" s="1" t="s">
        <v>139</v>
      </c>
      <c r="F10" s="1" t="s">
        <v>140</v>
      </c>
      <c r="G10" s="1" t="s">
        <v>141</v>
      </c>
      <c r="H10" s="1" t="s">
        <v>142</v>
      </c>
      <c r="I10" s="1" t="s">
        <v>143</v>
      </c>
      <c r="J10" s="1" t="s">
        <v>144</v>
      </c>
      <c r="K10" s="1" t="s">
        <v>145</v>
      </c>
      <c r="L10" s="1" t="s">
        <v>293</v>
      </c>
      <c r="M10" s="1" t="s">
        <v>147</v>
      </c>
      <c r="N10" s="1" t="s">
        <v>148</v>
      </c>
      <c r="O10" s="1" t="s">
        <v>149</v>
      </c>
      <c r="P10" s="1" t="s">
        <v>150</v>
      </c>
      <c r="Q10" s="1" t="s">
        <v>151</v>
      </c>
      <c r="R10" s="1" t="s">
        <v>152</v>
      </c>
      <c r="S10" s="1" t="s">
        <v>153</v>
      </c>
      <c r="T10" s="1" t="s">
        <v>164</v>
      </c>
    </row>
    <row r="11" spans="1:20" x14ac:dyDescent="0.25">
      <c r="C11" t="s">
        <v>201</v>
      </c>
      <c r="D11" s="24">
        <f>VLOOKUP(UNIFICADA[[#This Row],[Equipo]],Tabla1[[Equipo]:[Precios]],2,0)</f>
        <v>389</v>
      </c>
      <c r="E11" s="1">
        <f>IFERROR(VLOOKUP($C11,EQUIPOS[],UNIFICADO!E$9,0),"")</f>
        <v>13</v>
      </c>
      <c r="F11" s="1" t="str">
        <f>IFERROR(VLOOKUP($C11,EQUIPOS[],UNIFICADO!F$9,0),"")</f>
        <v>6.5 LCD HD+</v>
      </c>
      <c r="G11" s="1">
        <f>IFERROR(VLOOKUP($C11,EQUIPOS[],UNIFICADO!G$9,0),"")</f>
        <v>13</v>
      </c>
      <c r="H11" s="1">
        <f>IFERROR(VLOOKUP($C11,EQUIPOS[],UNIFICADO!H$9,0),"")</f>
        <v>2</v>
      </c>
      <c r="I11" s="1">
        <f>IFERROR(VLOOKUP($C11,EQUIPOS[],UNIFICADO!I$9,0),"")</f>
        <v>5</v>
      </c>
      <c r="J11" s="1">
        <f>IFERROR(VLOOKUP($C11,EQUIPOS[],UNIFICADO!J$9,0),"")</f>
        <v>64</v>
      </c>
      <c r="K11" s="1">
        <f>IFERROR(VLOOKUP($C11,EQUIPOS[],UNIFICADO!K$9,0),"")</f>
        <v>256</v>
      </c>
      <c r="L11" s="1" t="str">
        <f>IFERROR(VLOOKUP($C11,EQUIPOS[],UNIFICADO!L$9,0),"")</f>
        <v>Unisoc T606</v>
      </c>
      <c r="M11" s="1">
        <f>IFERROR(VLOOKUP($C11,EQUIPOS[],UNIFICADO!M$9,0),"")</f>
        <v>4</v>
      </c>
      <c r="N11" s="1">
        <f>IFERROR(VLOOKUP($C11,EQUIPOS[],UNIFICADO!N$9,0),"")</f>
        <v>180</v>
      </c>
      <c r="O11" s="1">
        <f>IFERROR(VLOOKUP($C11,EQUIPOS[],UNIFICADO!O$9,0),"")</f>
        <v>16.420000000000002</v>
      </c>
      <c r="P11" s="1">
        <f>IFERROR(VLOOKUP($C11,EQUIPOS[],UNIFICADO!P$9,0),"")</f>
        <v>7.5</v>
      </c>
      <c r="Q11" s="1">
        <f>IFERROR(VLOOKUP($C11,EQUIPOS[],UNIFICADO!Q$9,0),"")</f>
        <v>0.85</v>
      </c>
      <c r="R11" s="1">
        <f>IFERROR(VLOOKUP($C11,EQUIPOS[],UNIFICADO!R$9,0),"")</f>
        <v>5000</v>
      </c>
      <c r="S11" s="1">
        <f>IFERROR(VLOOKUP($C11,EQUIPOS[],UNIFICADO!S$9,0),"")</f>
        <v>4</v>
      </c>
      <c r="T11" s="1">
        <f>VLOOKUP(UNIFICADA[[#This Row],[Equipo]],EQUIPOS[],$T$9,0)</f>
        <v>31</v>
      </c>
    </row>
    <row r="12" spans="1:20" x14ac:dyDescent="0.25">
      <c r="C12" t="s">
        <v>171</v>
      </c>
      <c r="D12" s="24">
        <f>VLOOKUP(UNIFICADA[[#This Row],[Equipo]],Tabla1[[Equipo]:[Precios]],2,0)</f>
        <v>419</v>
      </c>
      <c r="E12" s="1">
        <f>IFERROR(VLOOKUP($C12,EQUIPOS[],UNIFICADO!E$9,0),"")</f>
        <v>12</v>
      </c>
      <c r="F12" s="1" t="str">
        <f>IFERROR(VLOOKUP($C12,EQUIPOS[],UNIFICADO!F$9,0),"")</f>
        <v>6.5 LCD HD+ 90 Hz</v>
      </c>
      <c r="G12" s="1">
        <f>IFERROR(VLOOKUP($C12,EQUIPOS[],UNIFICADO!G$9,0),"")</f>
        <v>16</v>
      </c>
      <c r="H12" s="1">
        <f>IFERROR(VLOOKUP($C12,EQUIPOS[],UNIFICADO!H$9,0),"")</f>
        <v>2</v>
      </c>
      <c r="I12" s="1">
        <f>IFERROR(VLOOKUP($C12,EQUIPOS[],UNIFICADO!I$9,0),"")</f>
        <v>5</v>
      </c>
      <c r="J12" s="1">
        <f>IFERROR(VLOOKUP($C12,EQUIPOS[],UNIFICADO!J$9,0),"")</f>
        <v>64</v>
      </c>
      <c r="K12" s="1">
        <f>IFERROR(VLOOKUP($C12,EQUIPOS[],UNIFICADO!K$9,0),"")</f>
        <v>1024</v>
      </c>
      <c r="L12" s="1" t="str">
        <f>IFERROR(VLOOKUP($C12,EQUIPOS[],UNIFICADO!L$9,0),"")</f>
        <v>Mdtk Helio G37</v>
      </c>
      <c r="M12" s="1">
        <f>IFERROR(VLOOKUP($C12,EQUIPOS[],UNIFICADO!M$9,0),"")</f>
        <v>4</v>
      </c>
      <c r="N12" s="1">
        <f>IFERROR(VLOOKUP($C12,EQUIPOS[],UNIFICADO!N$9,0),"")</f>
        <v>169</v>
      </c>
      <c r="O12" s="1">
        <f>IFERROR(VLOOKUP($C12,EQUIPOS[],UNIFICADO!O$9,0),"")</f>
        <v>16.399999999999999</v>
      </c>
      <c r="P12" s="1">
        <f>IFERROR(VLOOKUP($C12,EQUIPOS[],UNIFICADO!P$9,0),"")</f>
        <v>7.47</v>
      </c>
      <c r="Q12" s="1">
        <f>IFERROR(VLOOKUP($C12,EQUIPOS[],UNIFICADO!Q$9,0),"")</f>
        <v>0.8</v>
      </c>
      <c r="R12" s="1">
        <f>IFERROR(VLOOKUP($C12,EQUIPOS[],UNIFICADO!R$9,0),"")</f>
        <v>4020</v>
      </c>
      <c r="S12" s="1">
        <f>IFERROR(VLOOKUP($C12,EQUIPOS[],UNIFICADO!S$9,0),"")</f>
        <v>4</v>
      </c>
      <c r="T12" s="1">
        <f>VLOOKUP(UNIFICADA[[#This Row],[Equipo]],EQUIPOS[],$T$9,0)</f>
        <v>33</v>
      </c>
    </row>
    <row r="13" spans="1:20" x14ac:dyDescent="0.25">
      <c r="C13" t="s">
        <v>124</v>
      </c>
      <c r="D13" s="24">
        <f>VLOOKUP(UNIFICADA[[#This Row],[Equipo]],Tabla1[[Equipo]:[Precios]],2,0)</f>
        <v>449</v>
      </c>
      <c r="E13" s="1">
        <f>IFERROR(VLOOKUP($C13,EQUIPOS[],UNIFICADO!E$9,0),"")</f>
        <v>12</v>
      </c>
      <c r="F13" s="1">
        <f>IFERROR(VLOOKUP($C13,EQUIPOS[],UNIFICADO!F$9,0),"")</f>
        <v>6.5</v>
      </c>
      <c r="G13" s="1">
        <f>IFERROR(VLOOKUP($C13,EQUIPOS[],UNIFICADO!G$9,0),"")</f>
        <v>50</v>
      </c>
      <c r="H13" s="1">
        <f>IFERROR(VLOOKUP($C13,EQUIPOS[],UNIFICADO!H$9,0),"")</f>
        <v>2</v>
      </c>
      <c r="I13" s="1">
        <f>IFERROR(VLOOKUP($C13,EQUIPOS[],UNIFICADO!I$9,0),"")</f>
        <v>5</v>
      </c>
      <c r="J13" s="1">
        <f>IFERROR(VLOOKUP($C13,EQUIPOS[],UNIFICADO!J$9,0),"")</f>
        <v>64</v>
      </c>
      <c r="K13" s="1">
        <f>IFERROR(VLOOKUP($C13,EQUIPOS[],UNIFICADO!K$9,0),"")</f>
        <v>256</v>
      </c>
      <c r="L13" s="1">
        <f>IFERROR(VLOOKUP($C13,EQUIPOS[],UNIFICADO!L$9,0),"")</f>
        <v>8</v>
      </c>
      <c r="M13" s="1">
        <f>IFERROR(VLOOKUP($C13,EQUIPOS[],UNIFICADO!M$9,0),"")</f>
        <v>3</v>
      </c>
      <c r="N13" s="1">
        <f>IFERROR(VLOOKUP($C13,EQUIPOS[],UNIFICADO!N$9,0),"")</f>
        <v>192</v>
      </c>
      <c r="O13" s="1">
        <f>IFERROR(VLOOKUP($C13,EQUIPOS[],UNIFICADO!O$9,0),"")</f>
        <v>16.399999999999999</v>
      </c>
      <c r="P13" s="1">
        <f>IFERROR(VLOOKUP($C13,EQUIPOS[],UNIFICADO!P$9,0),"")</f>
        <v>7.63</v>
      </c>
      <c r="Q13" s="1">
        <f>IFERROR(VLOOKUP($C13,EQUIPOS[],UNIFICADO!Q$9,0),"")</f>
        <v>0.91</v>
      </c>
      <c r="R13" s="1">
        <f>IFERROR(VLOOKUP($C13,EQUIPOS[],UNIFICADO!R$9,0),"")</f>
        <v>5000</v>
      </c>
      <c r="S13" s="1">
        <f>IFERROR(VLOOKUP($C13,EQUIPOS[],UNIFICADO!S$9,0),"")</f>
        <v>4</v>
      </c>
      <c r="T13" s="1">
        <f>VLOOKUP(UNIFICADA[[#This Row],[Equipo]],EQUIPOS[],$T$9,0)</f>
        <v>52</v>
      </c>
    </row>
    <row r="14" spans="1:20" x14ac:dyDescent="0.25">
      <c r="C14" t="s">
        <v>41</v>
      </c>
      <c r="D14" s="24">
        <f>VLOOKUP(UNIFICADA[[#This Row],[Equipo]],Tabla1[[Equipo]:[Precios]],2,0)</f>
        <v>449</v>
      </c>
      <c r="E14" s="1">
        <f>IFERROR(VLOOKUP($C14,EQUIPOS[],UNIFICADO!E$9,0),"")</f>
        <v>11</v>
      </c>
      <c r="F14" s="1">
        <f>IFERROR(VLOOKUP($C14,EQUIPOS[],UNIFICADO!F$9,0),"")</f>
        <v>6.52</v>
      </c>
      <c r="G14" s="1">
        <f>IFERROR(VLOOKUP($C14,EQUIPOS[],UNIFICADO!G$9,0),"")</f>
        <v>16</v>
      </c>
      <c r="H14" s="1">
        <f>IFERROR(VLOOKUP($C14,EQUIPOS[],UNIFICADO!H$9,0),"")</f>
        <v>3</v>
      </c>
      <c r="I14" s="1">
        <f>IFERROR(VLOOKUP($C14,EQUIPOS[],UNIFICADO!I$9,0),"")</f>
        <v>8</v>
      </c>
      <c r="J14" s="1">
        <f>IFERROR(VLOOKUP($C14,EQUIPOS[],UNIFICADO!J$9,0),"")</f>
        <v>64</v>
      </c>
      <c r="K14" s="1">
        <f>IFERROR(VLOOKUP($C14,EQUIPOS[],UNIFICADO!K$9,0),"")</f>
        <v>256</v>
      </c>
      <c r="L14" s="1">
        <f>IFERROR(VLOOKUP($C14,EQUIPOS[],UNIFICADO!L$9,0),"")</f>
        <v>8</v>
      </c>
      <c r="M14" s="1">
        <f>IFERROR(VLOOKUP($C14,EQUIPOS[],UNIFICADO!M$9,0),"")</f>
        <v>3</v>
      </c>
      <c r="N14" s="1">
        <f>IFERROR(VLOOKUP($C14,EQUIPOS[],UNIFICADO!N$9,0),"")</f>
        <v>180</v>
      </c>
      <c r="O14" s="1">
        <f>IFERROR(VLOOKUP($C14,EQUIPOS[],UNIFICADO!O$9,0),"")</f>
        <v>16.5</v>
      </c>
      <c r="P14" s="1">
        <f>IFERROR(VLOOKUP($C14,EQUIPOS[],UNIFICADO!P$9,0),"")</f>
        <v>7.52</v>
      </c>
      <c r="Q14" s="1">
        <f>IFERROR(VLOOKUP($C14,EQUIPOS[],UNIFICADO!Q$9,0),"")</f>
        <v>0.82</v>
      </c>
      <c r="R14" s="1">
        <f>IFERROR(VLOOKUP($C14,EQUIPOS[],UNIFICADO!R$9,0),"")</f>
        <v>4000</v>
      </c>
      <c r="S14" s="1">
        <f>IFERROR(VLOOKUP($C14,EQUIPOS[],UNIFICADO!S$9,0),"")</f>
        <v>4</v>
      </c>
      <c r="T14" s="1">
        <f>VLOOKUP(UNIFICADA[[#This Row],[Equipo]],EQUIPOS[],$T$9,0)</f>
        <v>124</v>
      </c>
    </row>
    <row r="15" spans="1:20" x14ac:dyDescent="0.25">
      <c r="C15" t="s">
        <v>191</v>
      </c>
      <c r="D15" s="24">
        <f>VLOOKUP(UNIFICADA[[#This Row],[Equipo]],Tabla1[[Equipo]:[Precios]],2,0)</f>
        <v>549</v>
      </c>
      <c r="E15" s="1">
        <f>IFERROR(VLOOKUP($C15,EQUIPOS[],UNIFICADO!E$9,0),"")</f>
        <v>12</v>
      </c>
      <c r="F15" s="1" t="str">
        <f>IFERROR(VLOOKUP($C15,EQUIPOS[],UNIFICADO!F$9,0),"")</f>
        <v>6.5 HD+ 90Hz</v>
      </c>
      <c r="G15" s="1" t="str">
        <f>IFERROR(VLOOKUP($C15,EQUIPOS[],UNIFICADO!G$9,0),"")</f>
        <v>50 MP f/1.8</v>
      </c>
      <c r="H15" s="1">
        <f>IFERROR(VLOOKUP($C15,EQUIPOS[],UNIFICADO!H$9,0),"")</f>
        <v>3</v>
      </c>
      <c r="I15" s="1">
        <f>IFERROR(VLOOKUP($C15,EQUIPOS[],UNIFICADO!I$9,0),"")</f>
        <v>5</v>
      </c>
      <c r="J15" s="1">
        <f>IFERROR(VLOOKUP($C15,EQUIPOS[],UNIFICADO!J$9,0),"")</f>
        <v>64</v>
      </c>
      <c r="K15" s="1">
        <f>IFERROR(VLOOKUP($C15,EQUIPOS[],UNIFICADO!K$9,0),"")</f>
        <v>1024</v>
      </c>
      <c r="L15" s="1">
        <f>IFERROR(VLOOKUP($C15,EQUIPOS[],UNIFICADO!L$9,0),"")</f>
        <v>8</v>
      </c>
      <c r="M15" s="1">
        <f>IFERROR(VLOOKUP($C15,EQUIPOS[],UNIFICADO!M$9,0),"")</f>
        <v>3</v>
      </c>
      <c r="N15" s="1">
        <f>IFERROR(VLOOKUP($C15,EQUIPOS[],UNIFICADO!N$9,0),"")</f>
        <v>195</v>
      </c>
      <c r="O15" s="1">
        <f>IFERROR(VLOOKUP($C15,EQUIPOS[],UNIFICADO!O$9,0),"")</f>
        <v>16.5</v>
      </c>
      <c r="P15" s="1">
        <f>IFERROR(VLOOKUP($C15,EQUIPOS[],UNIFICADO!P$9,0),"")</f>
        <v>7.67</v>
      </c>
      <c r="Q15" s="1">
        <f>IFERROR(VLOOKUP($C15,EQUIPOS[],UNIFICADO!Q$9,0),"")</f>
        <v>0.91</v>
      </c>
      <c r="R15" s="1">
        <f>IFERROR(VLOOKUP($C15,EQUIPOS[],UNIFICADO!R$9,0),"")</f>
        <v>5000</v>
      </c>
      <c r="S15" s="1">
        <f>IFERROR(VLOOKUP($C15,EQUIPOS[],UNIFICADO!S$9,0),"")</f>
        <v>4</v>
      </c>
      <c r="T15" s="1">
        <f>VLOOKUP(UNIFICADA[[#This Row],[Equipo]],EQUIPOS[],$T$9,0)</f>
        <v>54</v>
      </c>
    </row>
    <row r="16" spans="1:20" x14ac:dyDescent="0.25">
      <c r="C16" t="s">
        <v>162</v>
      </c>
      <c r="D16" s="24">
        <f>VLOOKUP(UNIFICADA[[#This Row],[Equipo]],Tabla1[[Equipo]:[Precios]],2,0)</f>
        <v>609</v>
      </c>
      <c r="E16" s="1">
        <f>IFERROR(VLOOKUP($C16,EQUIPOS[],UNIFICADO!E$9,0),"")</f>
        <v>12</v>
      </c>
      <c r="F16" s="1" t="str">
        <f>IFERROR(VLOOKUP($C16,EQUIPOS[],UNIFICADO!F$9,0),"")</f>
        <v>6.56 HD+ 60 Hz</v>
      </c>
      <c r="G16" s="1">
        <f>IFERROR(VLOOKUP($C16,EQUIPOS[],UNIFICADO!G$9,0),"")</f>
        <v>50</v>
      </c>
      <c r="H16" s="1">
        <f>IFERROR(VLOOKUP($C16,EQUIPOS[],UNIFICADO!H$9,0),"")</f>
        <v>2</v>
      </c>
      <c r="I16" s="1">
        <f>IFERROR(VLOOKUP($C16,EQUIPOS[],UNIFICADO!I$9,0),"")</f>
        <v>5</v>
      </c>
      <c r="J16" s="1">
        <f>IFERROR(VLOOKUP($C16,EQUIPOS[],UNIFICADO!J$9,0),"")</f>
        <v>64</v>
      </c>
      <c r="K16" s="1">
        <f>IFERROR(VLOOKUP($C16,EQUIPOS[],UNIFICADO!K$9,0),"")</f>
        <v>256</v>
      </c>
      <c r="L16" s="1" t="str">
        <f>IFERROR(VLOOKUP($C16,EQUIPOS[],UNIFICADO!L$9,0),"")</f>
        <v>Mdtk Helio G35</v>
      </c>
      <c r="M16" s="1">
        <f>IFERROR(VLOOKUP($C16,EQUIPOS[],UNIFICADO!M$9,0),"")</f>
        <v>4</v>
      </c>
      <c r="N16" s="1">
        <f>IFERROR(VLOOKUP($C16,EQUIPOS[],UNIFICADO!N$9,0),"")</f>
        <v>189</v>
      </c>
      <c r="O16" s="1">
        <f>IFERROR(VLOOKUP($C16,EQUIPOS[],UNIFICADO!O$9,0),"")</f>
        <v>16.399999999999999</v>
      </c>
      <c r="P16" s="1">
        <f>IFERROR(VLOOKUP($C16,EQUIPOS[],UNIFICADO!P$9,0),"")</f>
        <v>7.56</v>
      </c>
      <c r="Q16" s="1">
        <f>IFERROR(VLOOKUP($C16,EQUIPOS[],UNIFICADO!Q$9,0),"")</f>
        <v>0.83</v>
      </c>
      <c r="R16" s="1">
        <f>IFERROR(VLOOKUP($C16,EQUIPOS[],UNIFICADO!R$9,0),"")</f>
        <v>5000</v>
      </c>
      <c r="S16" s="1">
        <f>IFERROR(VLOOKUP($C16,EQUIPOS[],UNIFICADO!S$9,0),"")</f>
        <v>4</v>
      </c>
      <c r="T16" s="1">
        <f>VLOOKUP(UNIFICADA[[#This Row],[Equipo]],EQUIPOS[],$T$9,0)</f>
        <v>1</v>
      </c>
    </row>
    <row r="17" spans="3:20" x14ac:dyDescent="0.25">
      <c r="C17" t="s">
        <v>196</v>
      </c>
      <c r="D17" s="24">
        <f>VLOOKUP(UNIFICADA[[#This Row],[Equipo]],Tabla1[[Equipo]:[Precios]],2,0)</f>
        <v>649</v>
      </c>
      <c r="E17" s="1">
        <f>IFERROR(VLOOKUP($C17,EQUIPOS[],UNIFICADO!E$9,0),"")</f>
        <v>13</v>
      </c>
      <c r="F17" s="1" t="str">
        <f>IFERROR(VLOOKUP($C17,EQUIPOS[],UNIFICADO!F$9,0),"")</f>
        <v>6.5 LCD HD+ 90Hz</v>
      </c>
      <c r="G17" s="1" t="str">
        <f>IFERROR(VLOOKUP($C17,EQUIPOS[],UNIFICADO!G$9,0),"")</f>
        <v>50 Mpx f/1.8</v>
      </c>
      <c r="H17" s="1">
        <f>IFERROR(VLOOKUP($C17,EQUIPOS[],UNIFICADO!H$9,0),"")</f>
        <v>3</v>
      </c>
      <c r="I17" s="1" t="str">
        <f>IFERROR(VLOOKUP($C17,EQUIPOS[],UNIFICADO!I$9,0),"")</f>
        <v>16Mpx f/1.8</v>
      </c>
      <c r="J17" s="1">
        <f>IFERROR(VLOOKUP($C17,EQUIPOS[],UNIFICADO!J$9,0),"")</f>
        <v>128</v>
      </c>
      <c r="K17" s="1">
        <f>IFERROR(VLOOKUP($C17,EQUIPOS[],UNIFICADO!K$9,0),"")</f>
        <v>512</v>
      </c>
      <c r="L17" s="1" t="str">
        <f>IFERROR(VLOOKUP($C17,EQUIPOS[],UNIFICADO!L$9,0),"")</f>
        <v>Mdtk Helio G85</v>
      </c>
      <c r="M17" s="1">
        <f>IFERROR(VLOOKUP($C17,EQUIPOS[],UNIFICADO!M$9,0),"")</f>
        <v>8</v>
      </c>
      <c r="N17" s="1">
        <f>IFERROR(VLOOKUP($C17,EQUIPOS[],UNIFICADO!N$9,0),"")</f>
        <v>184</v>
      </c>
      <c r="O17" s="1">
        <f>IFERROR(VLOOKUP($C17,EQUIPOS[],UNIFICADO!O$9,0),"")</f>
        <v>16.3</v>
      </c>
      <c r="P17" s="1" t="str">
        <f>IFERROR(VLOOKUP($C17,EQUIPOS[],UNIFICADO!P$9,0),"")</f>
        <v>7..47</v>
      </c>
      <c r="Q17" s="1">
        <f>IFERROR(VLOOKUP($C17,EQUIPOS[],UNIFICADO!Q$9,0),"")</f>
        <v>0.82</v>
      </c>
      <c r="R17" s="1" t="str">
        <f>IFERROR(VLOOKUP($C17,EQUIPOS[],UNIFICADO!R$9,0),"")</f>
        <v>5000 30W</v>
      </c>
      <c r="S17" s="1">
        <f>IFERROR(VLOOKUP($C17,EQUIPOS[],UNIFICADO!S$9,0),"")</f>
        <v>4</v>
      </c>
      <c r="T17" s="1">
        <f>VLOOKUP(UNIFICADA[[#This Row],[Equipo]],EQUIPOS[],$T$9,0)</f>
        <v>39</v>
      </c>
    </row>
    <row r="18" spans="3:20" x14ac:dyDescent="0.25">
      <c r="C18" t="s">
        <v>121</v>
      </c>
      <c r="D18" s="24">
        <f>VLOOKUP(UNIFICADA[[#This Row],[Equipo]],Tabla1[[Equipo]:[Precios]],2,0)</f>
        <v>709</v>
      </c>
      <c r="E18" s="1">
        <f>IFERROR(VLOOKUP($C18,EQUIPOS[],UNIFICADO!E$9,0),"")</f>
        <v>12</v>
      </c>
      <c r="F18" s="1">
        <f>IFERROR(VLOOKUP($C18,EQUIPOS[],UNIFICADO!F$9,0),"")</f>
        <v>6.56</v>
      </c>
      <c r="G18" s="1">
        <f>IFERROR(VLOOKUP($C18,EQUIPOS[],UNIFICADO!G$9,0),"")</f>
        <v>13</v>
      </c>
      <c r="H18" s="1">
        <f>IFERROR(VLOOKUP($C18,EQUIPOS[],UNIFICADO!H$9,0),"")</f>
        <v>2</v>
      </c>
      <c r="I18" s="1">
        <f>IFERROR(VLOOKUP($C18,EQUIPOS[],UNIFICADO!I$9,0),"")</f>
        <v>8</v>
      </c>
      <c r="J18" s="1">
        <f>IFERROR(VLOOKUP($C18,EQUIPOS[],UNIFICADO!J$9,0),"")</f>
        <v>128</v>
      </c>
      <c r="K18" s="1">
        <f>IFERROR(VLOOKUP($C18,EQUIPOS[],UNIFICADO!K$9,0),"")</f>
        <v>256</v>
      </c>
      <c r="L18" s="1">
        <f>IFERROR(VLOOKUP($C18,EQUIPOS[],UNIFICADO!L$9,0),"")</f>
        <v>8</v>
      </c>
      <c r="M18" s="1">
        <f>IFERROR(VLOOKUP($C18,EQUIPOS[],UNIFICADO!M$9,0),"")</f>
        <v>4</v>
      </c>
      <c r="N18" s="1">
        <f>IFERROR(VLOOKUP($C18,EQUIPOS[],UNIFICADO!N$9,0),"")</f>
        <v>186</v>
      </c>
      <c r="O18" s="1">
        <f>IFERROR(VLOOKUP($C18,EQUIPOS[],UNIFICADO!O$9,0),"")</f>
        <v>16.3</v>
      </c>
      <c r="P18" s="1">
        <f>IFERROR(VLOOKUP($C18,EQUIPOS[],UNIFICADO!P$9,0),"")</f>
        <v>7.51</v>
      </c>
      <c r="Q18" s="1">
        <f>IFERROR(VLOOKUP($C18,EQUIPOS[],UNIFICADO!Q$9,0),"")</f>
        <v>0.8</v>
      </c>
      <c r="R18" s="1">
        <f>IFERROR(VLOOKUP($C18,EQUIPOS[],UNIFICADO!R$9,0),"")</f>
        <v>5000</v>
      </c>
      <c r="S18" s="1">
        <f>IFERROR(VLOOKUP($C18,EQUIPOS[],UNIFICADO!S$9,0),"")</f>
        <v>4</v>
      </c>
      <c r="T18" s="1">
        <f>VLOOKUP(UNIFICADA[[#This Row],[Equipo]],EQUIPOS[],$T$9,0)</f>
        <v>3</v>
      </c>
    </row>
    <row r="19" spans="3:20" x14ac:dyDescent="0.25">
      <c r="C19" t="s">
        <v>202</v>
      </c>
      <c r="D19" s="24">
        <f>VLOOKUP(UNIFICADA[[#This Row],[Equipo]],Tabla1[[Equipo]:[Precios]],2,0)</f>
        <v>719</v>
      </c>
      <c r="E19" s="1">
        <f>IFERROR(VLOOKUP($C19,EQUIPOS[],UNIFICADO!E$9,0),"")</f>
        <v>13</v>
      </c>
      <c r="F19" s="1" t="str">
        <f>IFERROR(VLOOKUP($C19,EQUIPOS[],UNIFICADO!F$9,0),"")</f>
        <v>6.6 LCD 60Hz</v>
      </c>
      <c r="G19" s="1">
        <f>IFERROR(VLOOKUP($C19,EQUIPOS[],UNIFICADO!G$9,0),"")</f>
        <v>50</v>
      </c>
      <c r="H19" s="1">
        <f>IFERROR(VLOOKUP($C19,EQUIPOS[],UNIFICADO!H$9,0),"")</f>
        <v>3</v>
      </c>
      <c r="I19" s="1">
        <f>IFERROR(VLOOKUP($C19,EQUIPOS[],UNIFICADO!I$9,0),"")</f>
        <v>13</v>
      </c>
      <c r="J19" s="1">
        <f>IFERROR(VLOOKUP($C19,EQUIPOS[],UNIFICADO!J$9,0),"")</f>
        <v>128</v>
      </c>
      <c r="K19" s="1">
        <f>IFERROR(VLOOKUP($C19,EQUIPOS[],UNIFICADO!K$9,0),"")</f>
        <v>1024</v>
      </c>
      <c r="L19" s="1" t="str">
        <f>IFERROR(VLOOKUP($C19,EQUIPOS[],UNIFICADO!L$9,0),"")</f>
        <v>Exynos 850</v>
      </c>
      <c r="M19" s="1">
        <f>IFERROR(VLOOKUP($C19,EQUIPOS[],UNIFICADO!M$9,0),"")</f>
        <v>4</v>
      </c>
      <c r="N19" s="1">
        <f>IFERROR(VLOOKUP($C19,EQUIPOS[],UNIFICADO!N$9,0),"")</f>
        <v>202</v>
      </c>
      <c r="O19" s="1">
        <f>IFERROR(VLOOKUP($C19,EQUIPOS[],UNIFICADO!O$9,0),"")</f>
        <v>16.77</v>
      </c>
      <c r="P19" s="1">
        <f>IFERROR(VLOOKUP($C19,EQUIPOS[],UNIFICADO!P$9,0),"")</f>
        <v>7.8</v>
      </c>
      <c r="Q19" s="1">
        <f>IFERROR(VLOOKUP($C19,EQUIPOS[],UNIFICADO!Q$9,0),"")</f>
        <v>0.91</v>
      </c>
      <c r="R19" s="1">
        <f>IFERROR(VLOOKUP($C19,EQUIPOS[],UNIFICADO!R$9,0),"")</f>
        <v>5000</v>
      </c>
      <c r="S19" s="1">
        <f>IFERROR(VLOOKUP($C19,EQUIPOS[],UNIFICADO!S$9,0),"")</f>
        <v>5</v>
      </c>
      <c r="T19" s="1">
        <f>VLOOKUP(UNIFICADA[[#This Row],[Equipo]],EQUIPOS[],$T$9,0)</f>
        <v>56</v>
      </c>
    </row>
    <row r="20" spans="3:20" x14ac:dyDescent="0.25">
      <c r="C20" t="s">
        <v>167</v>
      </c>
      <c r="D20" s="24">
        <f>VLOOKUP(UNIFICADA[[#This Row],[Equipo]],Tabla1[[Equipo]:[Precios]],2,0)</f>
        <v>729</v>
      </c>
      <c r="E20" s="1">
        <f>IFERROR(VLOOKUP($C20,EQUIPOS[],UNIFICADO!E$9,0),"")</f>
        <v>12</v>
      </c>
      <c r="F20" s="1" t="str">
        <f>IFERROR(VLOOKUP($C20,EQUIPOS[],UNIFICADO!F$9,0),"")</f>
        <v>6.74 LCD HD 90Hz</v>
      </c>
      <c r="G20" s="1" t="str">
        <f>IFERROR(VLOOKUP($C20,EQUIPOS[],UNIFICADO!G$9,0),"")</f>
        <v>50 MP f/1.8</v>
      </c>
      <c r="H20" s="1">
        <f>IFERROR(VLOOKUP($C20,EQUIPOS[],UNIFICADO!H$9,0),"")</f>
        <v>3</v>
      </c>
      <c r="I20" s="1" t="str">
        <f>IFERROR(VLOOKUP($C20,EQUIPOS[],UNIFICADO!I$9,0),"")</f>
        <v>8MP f/2.0</v>
      </c>
      <c r="J20" s="1">
        <f>IFERROR(VLOOKUP($C20,EQUIPOS[],UNIFICADO!J$9,0),"")</f>
        <v>128</v>
      </c>
      <c r="K20" s="1">
        <f>IFERROR(VLOOKUP($C20,EQUIPOS[],UNIFICADO!K$9,0),"")</f>
        <v>1024</v>
      </c>
      <c r="L20" s="1" t="str">
        <f>IFERROR(VLOOKUP($C20,EQUIPOS[],UNIFICADO!L$9,0),"")</f>
        <v>Mdtk Helio G37</v>
      </c>
      <c r="M20" s="1">
        <f>IFERROR(VLOOKUP($C20,EQUIPOS[],UNIFICADO!M$9,0),"")</f>
        <v>4</v>
      </c>
      <c r="N20" s="1">
        <f>IFERROR(VLOOKUP($C20,EQUIPOS[],UNIFICADO!N$9,0),"")</f>
        <v>198</v>
      </c>
      <c r="O20" s="1">
        <f>IFERROR(VLOOKUP($C20,EQUIPOS[],UNIFICADO!O$9,0),"")</f>
        <v>16.760000000000002</v>
      </c>
      <c r="P20" s="1">
        <f>IFERROR(VLOOKUP($C20,EQUIPOS[],UNIFICADO!P$9,0),"")</f>
        <v>7.72</v>
      </c>
      <c r="Q20" s="1">
        <f>IFERROR(VLOOKUP($C20,EQUIPOS[],UNIFICADO!Q$9,0),"")</f>
        <v>0.86</v>
      </c>
      <c r="R20" s="1" t="str">
        <f>IFERROR(VLOOKUP($C20,EQUIPOS[],UNIFICADO!R$9,0),"")</f>
        <v>5330 22.5W</v>
      </c>
      <c r="S20" s="1">
        <f>IFERROR(VLOOKUP($C20,EQUIPOS[],UNIFICADO!S$9,0),"")</f>
        <v>4</v>
      </c>
      <c r="T20" s="1">
        <f>VLOOKUP(UNIFICADA[[#This Row],[Equipo]],EQUIPOS[],$T$9,0)</f>
        <v>18</v>
      </c>
    </row>
    <row r="21" spans="3:20" x14ac:dyDescent="0.25">
      <c r="C21" t="s">
        <v>230</v>
      </c>
      <c r="D21" s="24">
        <f>VLOOKUP(UNIFICADA[[#This Row],[Equipo]],Tabla1[[Equipo]:[Precios]],2,0)</f>
        <v>799</v>
      </c>
      <c r="E21" s="1">
        <f>IFERROR(VLOOKUP($C21,EQUIPOS[],UNIFICADO!E$9,0),"")</f>
        <v>13</v>
      </c>
      <c r="F21" s="1" t="str">
        <f>IFERROR(VLOOKUP($C21,EQUIPOS[],UNIFICADO!F$9,0),"")</f>
        <v>6.5 LCD HD+ 120Hz</v>
      </c>
      <c r="G21" s="1">
        <f>IFERROR(VLOOKUP($C21,EQUIPOS[],UNIFICADO!G$9,0),"")</f>
        <v>50</v>
      </c>
      <c r="H21" s="1">
        <f>IFERROR(VLOOKUP($C21,EQUIPOS[],UNIFICADO!H$9,0),"")</f>
        <v>2</v>
      </c>
      <c r="I21" s="1">
        <f>IFERROR(VLOOKUP($C21,EQUIPOS[],UNIFICADO!I$9,0),"")</f>
        <v>8</v>
      </c>
      <c r="J21" s="1">
        <f>IFERROR(VLOOKUP($C21,EQUIPOS[],UNIFICADO!J$9,0),"")</f>
        <v>128</v>
      </c>
      <c r="K21" s="1" t="str">
        <f>IFERROR(VLOOKUP($C21,EQUIPOS[],UNIFICADO!K$9,0),"")</f>
        <v>-</v>
      </c>
      <c r="L21" s="1" t="str">
        <f>IFERROR(VLOOKUP($C21,EQUIPOS[],UNIFICADO!L$9,0),"")</f>
        <v>Snapdragon 480+</v>
      </c>
      <c r="M21" s="1">
        <f>IFERROR(VLOOKUP($C21,EQUIPOS[],UNIFICADO!M$9,0),"")</f>
        <v>8</v>
      </c>
      <c r="N21" s="1">
        <f>IFERROR(VLOOKUP($C21,EQUIPOS[],UNIFICADO!N$9,0),"")</f>
        <v>183</v>
      </c>
      <c r="O21" s="1">
        <f>IFERROR(VLOOKUP($C21,EQUIPOS[],UNIFICADO!O$9,0),"")</f>
        <v>16.3</v>
      </c>
      <c r="P21" s="1">
        <f>IFERROR(VLOOKUP($C21,EQUIPOS[],UNIFICADO!P$9,0),"")</f>
        <v>7.47</v>
      </c>
      <c r="Q21" s="1">
        <f>IFERROR(VLOOKUP($C21,EQUIPOS[],UNIFICADO!Q$9,0),"")</f>
        <v>0.82</v>
      </c>
      <c r="R21" s="1" t="str">
        <f>IFERROR(VLOOKUP($C21,EQUIPOS[],UNIFICADO!R$9,0),"")</f>
        <v>5000 10W</v>
      </c>
      <c r="S21" s="1">
        <f>IFERROR(VLOOKUP($C21,EQUIPOS[],UNIFICADO!S$9,0),"")</f>
        <v>5</v>
      </c>
      <c r="T21" s="1">
        <f>VLOOKUP(UNIFICADA[[#This Row],[Equipo]],EQUIPOS[],$T$9,0)</f>
        <v>43</v>
      </c>
    </row>
    <row r="22" spans="3:20" x14ac:dyDescent="0.25">
      <c r="C22" t="s">
        <v>134</v>
      </c>
      <c r="D22" s="24">
        <f>VLOOKUP(UNIFICADA[[#This Row],[Equipo]],Tabla1[[Equipo]:[Precios]],2,0)</f>
        <v>799</v>
      </c>
      <c r="E22" s="1">
        <f>IFERROR(VLOOKUP($C22,EQUIPOS[],UNIFICADO!E$9,0),"")</f>
        <v>11</v>
      </c>
      <c r="F22" s="1" t="str">
        <f>IFERROR(VLOOKUP($C22,EQUIPOS[],UNIFICADO!F$9,0),"")</f>
        <v>6.75 HD+ 90Hz</v>
      </c>
      <c r="G22" s="1" t="str">
        <f>IFERROR(VLOOKUP($C22,EQUIPOS[],UNIFICADO!G$9,0),"")</f>
        <v>13+2+2</v>
      </c>
      <c r="H22" s="1">
        <f>IFERROR(VLOOKUP($C22,EQUIPOS[],UNIFICADO!H$9,0),"")</f>
        <v>3</v>
      </c>
      <c r="I22" s="1">
        <f>IFERROR(VLOOKUP($C22,EQUIPOS[],UNIFICADO!I$9,0),"")</f>
        <v>5</v>
      </c>
      <c r="J22" s="1">
        <f>IFERROR(VLOOKUP($C22,EQUIPOS[],UNIFICADO!J$9,0),"")</f>
        <v>128</v>
      </c>
      <c r="K22" s="1">
        <f>IFERROR(VLOOKUP($C22,EQUIPOS[],UNIFICADO!K$9,0),"")</f>
        <v>256</v>
      </c>
      <c r="L22" s="1" t="str">
        <f>IFERROR(VLOOKUP($C22,EQUIPOS[],UNIFICADO!L$9,0),"")</f>
        <v xml:space="preserve"> Unisoc T606</v>
      </c>
      <c r="M22" s="1">
        <f>IFERROR(VLOOKUP($C22,EQUIPOS[],UNIFICADO!M$9,0),"")</f>
        <v>3</v>
      </c>
      <c r="N22" s="1">
        <f>IFERROR(VLOOKUP($C22,EQUIPOS[],UNIFICADO!N$9,0),"")</f>
        <v>215</v>
      </c>
      <c r="O22" s="1">
        <f>IFERROR(VLOOKUP($C22,EQUIPOS[],UNIFICADO!O$9,0),"")</f>
        <v>16.8</v>
      </c>
      <c r="P22" s="1">
        <f>IFERROR(VLOOKUP($C22,EQUIPOS[],UNIFICADO!P$9,0),"")</f>
        <v>7.75</v>
      </c>
      <c r="Q22" s="1">
        <f>IFERROR(VLOOKUP($C22,EQUIPOS[],UNIFICADO!Q$9,0),"")</f>
        <v>0.94</v>
      </c>
      <c r="R22" s="1">
        <f>IFERROR(VLOOKUP($C22,EQUIPOS[],UNIFICADO!R$9,0),"")</f>
        <v>6000</v>
      </c>
      <c r="S22" s="1">
        <f>IFERROR(VLOOKUP($C22,EQUIPOS[],UNIFICADO!S$9,0),"")</f>
        <v>5</v>
      </c>
      <c r="T22" s="1">
        <f>VLOOKUP(UNIFICADA[[#This Row],[Equipo]],EQUIPOS[],$T$9,0)</f>
        <v>126</v>
      </c>
    </row>
    <row r="23" spans="3:20" x14ac:dyDescent="0.25">
      <c r="C23" t="s">
        <v>190</v>
      </c>
      <c r="D23" s="24">
        <f>VLOOKUP(UNIFICADA[[#This Row],[Equipo]],Tabla1[[Equipo]:[Precios]],2,0)</f>
        <v>869</v>
      </c>
      <c r="E23" s="1">
        <f>IFERROR(VLOOKUP($C23,EQUIPOS[],UNIFICADO!E$9,0),"")</f>
        <v>12</v>
      </c>
      <c r="F23" s="1" t="str">
        <f>IFERROR(VLOOKUP($C23,EQUIPOS[],UNIFICADO!F$9,0),"")</f>
        <v>6.56 LCD HD+ 90Hz</v>
      </c>
      <c r="G23" s="1" t="str">
        <f>IFERROR(VLOOKUP($C23,EQUIPOS[],UNIFICADO!G$9,0),"")</f>
        <v>50 MP f/1.8</v>
      </c>
      <c r="H23" s="1">
        <f>IFERROR(VLOOKUP($C23,EQUIPOS[],UNIFICADO!H$9,0),"")</f>
        <v>2</v>
      </c>
      <c r="I23" s="1" t="str">
        <f>IFERROR(VLOOKUP($C23,EQUIPOS[],UNIFICADO!I$9,0),"")</f>
        <v>8 MP f/2.0</v>
      </c>
      <c r="J23" s="1">
        <f>IFERROR(VLOOKUP($C23,EQUIPOS[],UNIFICADO!J$9,0),"")</f>
        <v>128</v>
      </c>
      <c r="K23" s="1">
        <f>IFERROR(VLOOKUP($C23,EQUIPOS[],UNIFICADO!K$9,0),"")</f>
        <v>1024</v>
      </c>
      <c r="L23" s="1" t="str">
        <f>IFERROR(VLOOKUP($C23,EQUIPOS[],UNIFICADO!L$9,0),"")</f>
        <v>Dimensity 700</v>
      </c>
      <c r="M23" s="1">
        <f>IFERROR(VLOOKUP($C23,EQUIPOS[],UNIFICADO!M$9,0),"")</f>
        <v>4</v>
      </c>
      <c r="N23" s="1">
        <f>IFERROR(VLOOKUP($C23,EQUIPOS[],UNIFICADO!N$9,0),"")</f>
        <v>188</v>
      </c>
      <c r="O23" s="1">
        <f>IFERROR(VLOOKUP($C23,EQUIPOS[],UNIFICADO!O$9,0),"")</f>
        <v>16.399999999999999</v>
      </c>
      <c r="P23" s="1">
        <f>IFERROR(VLOOKUP($C23,EQUIPOS[],UNIFICADO!P$9,0),"")</f>
        <v>7.51</v>
      </c>
      <c r="Q23" s="1">
        <f>IFERROR(VLOOKUP($C23,EQUIPOS[],UNIFICADO!Q$9,0),"")</f>
        <v>0.8</v>
      </c>
      <c r="R23" s="1" t="str">
        <f>IFERROR(VLOOKUP($C23,EQUIPOS[],UNIFICADO!R$9,0),"")</f>
        <v>5.000 33W</v>
      </c>
      <c r="S23" s="1">
        <f>IFERROR(VLOOKUP($C23,EQUIPOS[],UNIFICADO!S$9,0),"")</f>
        <v>5</v>
      </c>
      <c r="T23" s="1">
        <f>VLOOKUP(UNIFICADA[[#This Row],[Equipo]],EQUIPOS[],$T$9,0)</f>
        <v>5</v>
      </c>
    </row>
    <row r="24" spans="3:20" x14ac:dyDescent="0.25">
      <c r="C24" t="s">
        <v>216</v>
      </c>
      <c r="D24" s="24">
        <f>VLOOKUP(UNIFICADA[[#This Row],[Equipo]],Tabla1[[Equipo]:[Precios]],2,0)</f>
        <v>939</v>
      </c>
      <c r="E24" s="1">
        <f>IFERROR(VLOOKUP($C24,EQUIPOS[],UNIFICADO!E$9,0),"")</f>
        <v>13</v>
      </c>
      <c r="F24" s="1" t="str">
        <f>IFERROR(VLOOKUP($C24,EQUIPOS[],UNIFICADO!F$9,0),"")</f>
        <v>6.5 AMOLED FullHD+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13</v>
      </c>
      <c r="J24" s="1">
        <f>IFERROR(VLOOKUP($C24,EQUIPOS[],UNIFICADO!J$9,0),"")</f>
        <v>128</v>
      </c>
      <c r="K24" s="1">
        <f>IFERROR(VLOOKUP($C24,EQUIPOS[],UNIFICADO!K$9,0),"")</f>
        <v>1024</v>
      </c>
      <c r="L24" s="1">
        <f>IFERROR(VLOOKUP($C24,EQUIPOS[],UNIFICADO!L$9,0),"")</f>
        <v>8</v>
      </c>
      <c r="M24" s="1">
        <f>IFERROR(VLOOKUP($C24,EQUIPOS[],UNIFICADO!M$9,0),"")</f>
        <v>6</v>
      </c>
      <c r="N24" s="1">
        <f>IFERROR(VLOOKUP($C24,EQUIPOS[],UNIFICADO!N$9,0),"")</f>
        <v>195</v>
      </c>
      <c r="O24" s="1">
        <f>IFERROR(VLOOKUP($C24,EQUIPOS[],UNIFICADO!O$9,0),"")</f>
        <v>16.2</v>
      </c>
      <c r="P24" s="1">
        <f>IFERROR(VLOOKUP($C24,EQUIPOS[],UNIFICADO!P$9,0),"")</f>
        <v>7.76</v>
      </c>
      <c r="Q24" s="1">
        <f>IFERROR(VLOOKUP($C24,EQUIPOS[],UNIFICADO!Q$9,0),"")</f>
        <v>0.83</v>
      </c>
      <c r="R24" s="1">
        <f>IFERROR(VLOOKUP($C24,EQUIPOS[],UNIFICADO!R$9,0),"")</f>
        <v>5000</v>
      </c>
      <c r="S24" s="1">
        <f>IFERROR(VLOOKUP($C24,EQUIPOS[],UNIFICADO!S$9,0),"")</f>
        <v>4</v>
      </c>
      <c r="T24" s="1">
        <f>VLOOKUP(UNIFICADA[[#This Row],[Equipo]],EQUIPOS[],$T$9,0)</f>
        <v>60</v>
      </c>
    </row>
    <row r="25" spans="3:20" x14ac:dyDescent="0.25">
      <c r="C25" t="s">
        <v>82</v>
      </c>
      <c r="D25" s="24">
        <f>VLOOKUP(UNIFICADA[[#This Row],[Equipo]],Tabla1[[Equipo]:[Precios]],2,0)</f>
        <v>1499</v>
      </c>
      <c r="E25" s="1">
        <f>IFERROR(VLOOKUP($C25,EQUIPOS[],UNIFICADO!E$9,0),"")</f>
        <v>10</v>
      </c>
      <c r="F25" s="1">
        <f>IFERROR(VLOOKUP($C25,EQUIPOS[],UNIFICADO!F$9,0),"")</f>
        <v>6.5</v>
      </c>
      <c r="G25" s="1">
        <f>IFERROR(VLOOKUP($C25,EQUIPOS[],UNIFICADO!G$9,0),"")</f>
        <v>12</v>
      </c>
      <c r="H25" s="1">
        <f>IFERROR(VLOOKUP($C25,EQUIPOS[],UNIFICADO!H$9,0),"")</f>
        <v>3</v>
      </c>
      <c r="I25" s="1">
        <f>IFERROR(VLOOKUP($C25,EQUIPOS[],UNIFICADO!I$9,0),"")</f>
        <v>32</v>
      </c>
      <c r="J25" s="1">
        <f>IFERROR(VLOOKUP($C25,EQUIPOS[],UNIFICADO!J$9,0),"")</f>
        <v>128</v>
      </c>
      <c r="K25" s="1">
        <f>IFERROR(VLOOKUP($C25,EQUIPOS[],UNIFICADO!K$9,0),"")</f>
        <v>1024</v>
      </c>
      <c r="L25" s="1">
        <f>IFERROR(VLOOKUP($C25,EQUIPOS[],UNIFICADO!L$9,0),"")</f>
        <v>8</v>
      </c>
      <c r="M25" s="1">
        <f>IFERROR(VLOOKUP($C25,EQUIPOS[],UNIFICADO!M$9,0),"")</f>
        <v>6</v>
      </c>
      <c r="N25" s="1">
        <f>IFERROR(VLOOKUP($C25,EQUIPOS[],UNIFICADO!N$9,0),"")</f>
        <v>190</v>
      </c>
      <c r="O25" s="1">
        <f>IFERROR(VLOOKUP($C25,EQUIPOS[],UNIFICADO!O$9,0),"")</f>
        <v>15.9</v>
      </c>
      <c r="P25" s="1">
        <f>IFERROR(VLOOKUP($C25,EQUIPOS[],UNIFICADO!P$9,0),"")</f>
        <v>7.45</v>
      </c>
      <c r="Q25" s="1">
        <f>IFERROR(VLOOKUP($C25,EQUIPOS[],UNIFICADO!Q$9,0),"")</f>
        <v>0.84</v>
      </c>
      <c r="R25" s="1">
        <f>IFERROR(VLOOKUP($C25,EQUIPOS[],UNIFICADO!R$9,0),"")</f>
        <v>4500</v>
      </c>
      <c r="S25" s="1">
        <f>IFERROR(VLOOKUP($C25,EQUIPOS[],UNIFICADO!S$9,0),"")</f>
        <v>5</v>
      </c>
      <c r="T25" s="1">
        <f>VLOOKUP(UNIFICADA[[#This Row],[Equipo]],EQUIPOS[],$T$9,0)</f>
        <v>70</v>
      </c>
    </row>
    <row r="26" spans="3:20" x14ac:dyDescent="0.25">
      <c r="C26" t="s">
        <v>180</v>
      </c>
      <c r="D26" s="24">
        <f>VLOOKUP(UNIFICADA[[#This Row],[Equipo]],Tabla1[[Equipo]:[Precios]],2,0)</f>
        <v>1679</v>
      </c>
      <c r="E26" s="1">
        <f>IFERROR(VLOOKUP($C26,EQUIPOS[],UNIFICADO!E$9,0),"")</f>
        <v>12</v>
      </c>
      <c r="F26" s="1">
        <f>IFERROR(VLOOKUP($C26,EQUIPOS[],UNIFICADO!F$9,0),"")</f>
        <v>6.43</v>
      </c>
      <c r="G26" s="1">
        <f>IFERROR(VLOOKUP($C26,EQUIPOS[],UNIFICADO!G$9,0),"")</f>
        <v>64</v>
      </c>
      <c r="H26" s="1">
        <f>IFERROR(VLOOKUP($C26,EQUIPOS[],UNIFICADO!H$9,0),"")</f>
        <v>3</v>
      </c>
      <c r="I26" s="1">
        <f>IFERROR(VLOOKUP($C26,EQUIPOS[],UNIFICADO!I$9,0),"")</f>
        <v>32</v>
      </c>
      <c r="J26" s="1">
        <f>IFERROR(VLOOKUP($C26,EQUIPOS[],UNIFICADO!J$9,0),"")</f>
        <v>256</v>
      </c>
      <c r="K26" s="1">
        <f>IFERROR(VLOOKUP($C26,EQUIPOS[],UNIFICADO!K$9,0),"")</f>
        <v>256</v>
      </c>
      <c r="L26" s="1">
        <f>IFERROR(VLOOKUP($C26,EQUIPOS[],UNIFICADO!L$9,0),"")</f>
        <v>8</v>
      </c>
      <c r="M26" s="1">
        <f>IFERROR(VLOOKUP($C26,EQUIPOS[],UNIFICADO!M$9,0),"")</f>
        <v>8</v>
      </c>
      <c r="N26" s="1">
        <f>IFERROR(VLOOKUP($C26,EQUIPOS[],UNIFICADO!N$9,0),"")</f>
        <v>175</v>
      </c>
      <c r="O26" s="1">
        <f>IFERROR(VLOOKUP($C26,EQUIPOS[],UNIFICADO!O$9,0),"")</f>
        <v>15.9</v>
      </c>
      <c r="P26" s="1">
        <f>IFERROR(VLOOKUP($C26,EQUIPOS[],UNIFICADO!P$9,0),"")</f>
        <v>7.32</v>
      </c>
      <c r="Q26" s="1">
        <f>IFERROR(VLOOKUP($C26,EQUIPOS[],UNIFICADO!Q$9,0),"")</f>
        <v>0.75</v>
      </c>
      <c r="R26" s="1">
        <f>IFERROR(VLOOKUP($C26,EQUIPOS[],UNIFICADO!R$9,0),"")</f>
        <v>4500</v>
      </c>
      <c r="S26" s="1">
        <f>IFERROR(VLOOKUP($C26,EQUIPOS[],UNIFICADO!S$9,0),"")</f>
        <v>4</v>
      </c>
      <c r="T26" s="1">
        <f>VLOOKUP(UNIFICADA[[#This Row],[Equipo]],EQUIPOS[],$T$9,0)</f>
        <v>8</v>
      </c>
    </row>
    <row r="27" spans="3:20" x14ac:dyDescent="0.25">
      <c r="C27" t="s">
        <v>204</v>
      </c>
      <c r="D27" s="24">
        <f>VLOOKUP(UNIFICADA[[#This Row],[Equipo]],Tabla1[[Equipo]:[Precios]],2,0)</f>
        <v>1639</v>
      </c>
      <c r="E27" s="1">
        <f>IFERROR(VLOOKUP($C27,EQUIPOS[],UNIFICADO!E$9,0),"")</f>
        <v>13</v>
      </c>
      <c r="F27" s="1" t="str">
        <f>IFERROR(VLOOKUP($C27,EQUIPOS[],UNIFICADO!F$9,0),"")</f>
        <v>6.4 Full HD+ 120Hz</v>
      </c>
      <c r="G27" s="1" t="str">
        <f>IFERROR(VLOOKUP($C27,EQUIPOS[],UNIFICADO!G$9,0),"")</f>
        <v>50 Mpx, f/1.8</v>
      </c>
      <c r="H27" s="1">
        <f>IFERROR(VLOOKUP($C27,EQUIPOS[],UNIFICADO!H$9,0),"")</f>
        <v>3</v>
      </c>
      <c r="I27" s="1" t="str">
        <f>IFERROR(VLOOKUP($C27,EQUIPOS[],UNIFICADO!I$9,0),"")</f>
        <v>32 Mpx f/2.2</v>
      </c>
      <c r="J27" s="1">
        <f>IFERROR(VLOOKUP($C27,EQUIPOS[],UNIFICADO!J$9,0),"")</f>
        <v>256</v>
      </c>
      <c r="K27" s="1">
        <f>IFERROR(VLOOKUP($C27,EQUIPOS[],UNIFICADO!K$9,0),"")</f>
        <v>1024</v>
      </c>
      <c r="L27" s="1" t="str">
        <f>IFERROR(VLOOKUP($C27,EQUIPOS[],UNIFICADO!L$9,0),"")</f>
        <v>Exynos 1380</v>
      </c>
      <c r="M27" s="1">
        <f>IFERROR(VLOOKUP($C27,EQUIPOS[],UNIFICADO!M$9,0),"")</f>
        <v>8</v>
      </c>
      <c r="N27" s="1">
        <f>IFERROR(VLOOKUP($C27,EQUIPOS[],UNIFICADO!N$9,0),"")</f>
        <v>202</v>
      </c>
      <c r="O27" s="1">
        <f>IFERROR(VLOOKUP($C27,EQUIPOS[],UNIFICADO!O$9,0),"")</f>
        <v>15.82</v>
      </c>
      <c r="P27" s="1">
        <f>IFERROR(VLOOKUP($C27,EQUIPOS[],UNIFICADO!P$9,0),"")</f>
        <v>7.67</v>
      </c>
      <c r="Q27" s="1">
        <f>IFERROR(VLOOKUP($C27,EQUIPOS[],UNIFICADO!Q$9,0),"")</f>
        <v>0.82</v>
      </c>
      <c r="R27" s="1">
        <f>IFERROR(VLOOKUP($C27,EQUIPOS[],UNIFICADO!R$9,0),"")</f>
        <v>5000</v>
      </c>
      <c r="S27" s="1">
        <f>IFERROR(VLOOKUP($C27,EQUIPOS[],UNIFICADO!S$9,0),"")</f>
        <v>4.5</v>
      </c>
      <c r="T27" s="1">
        <f>VLOOKUP(UNIFICADA[[#This Row],[Equipo]],EQUIPOS[],$T$9,0)</f>
        <v>67</v>
      </c>
    </row>
    <row r="28" spans="3:20" x14ac:dyDescent="0.25">
      <c r="C28" t="s">
        <v>48</v>
      </c>
      <c r="D28" s="24">
        <f>VLOOKUP(UNIFICADA[[#This Row],[Equipo]],Tabla1[[Equipo]:[Precios]],2,0)</f>
        <v>2139</v>
      </c>
      <c r="E28" s="1">
        <f>IFERROR(VLOOKUP($C28,EQUIPOS[],UNIFICADO!E$9,0),"")</f>
        <v>11</v>
      </c>
      <c r="F28" s="1">
        <f>IFERROR(VLOOKUP($C28,EQUIPOS[],UNIFICADO!F$9,0),"")</f>
        <v>6.4</v>
      </c>
      <c r="G28" s="1">
        <f>IFERROR(VLOOKUP($C28,EQUIPOS[],UNIFICADO!G$9,0),"")</f>
        <v>12</v>
      </c>
      <c r="H28" s="1">
        <f>IFERROR(VLOOKUP($C28,EQUIPOS[],UNIFICADO!H$9,0),"")</f>
        <v>3</v>
      </c>
      <c r="I28" s="1">
        <f>IFERROR(VLOOKUP($C28,EQUIPOS[],UNIFICADO!I$9,0),"")</f>
        <v>32</v>
      </c>
      <c r="J28" s="1">
        <f>IFERROR(VLOOKUP($C28,EQUIPOS[],UNIFICADO!J$9,0),"")</f>
        <v>128</v>
      </c>
      <c r="K28" s="1" t="str">
        <f>IFERROR(VLOOKUP($C28,EQUIPOS[],UNIFICADO!K$9,0),"")</f>
        <v>-</v>
      </c>
      <c r="L28" s="1">
        <f>IFERROR(VLOOKUP($C28,EQUIPOS[],UNIFICADO!L$9,0),"")</f>
        <v>8</v>
      </c>
      <c r="M28" s="1">
        <f>IFERROR(VLOOKUP($C28,EQUIPOS[],UNIFICADO!M$9,0),"")</f>
        <v>8</v>
      </c>
      <c r="N28" s="1">
        <f>IFERROR(VLOOKUP($C28,EQUIPOS[],UNIFICADO!N$9,0),"")</f>
        <v>177</v>
      </c>
      <c r="O28" s="1">
        <f>IFERROR(VLOOKUP($C28,EQUIPOS[],UNIFICADO!O$9,0),"")</f>
        <v>15.5</v>
      </c>
      <c r="P28" s="1">
        <f>IFERROR(VLOOKUP($C28,EQUIPOS[],UNIFICADO!P$9,0),"")</f>
        <v>7.45</v>
      </c>
      <c r="Q28" s="1">
        <f>IFERROR(VLOOKUP($C28,EQUIPOS[],UNIFICADO!Q$9,0),"")</f>
        <v>0.79</v>
      </c>
      <c r="R28" s="1">
        <f>IFERROR(VLOOKUP($C28,EQUIPOS[],UNIFICADO!R$9,0),"")</f>
        <v>4500</v>
      </c>
      <c r="S28" s="1">
        <f>IFERROR(VLOOKUP($C28,EQUIPOS[],UNIFICADO!S$9,0),"")</f>
        <v>5</v>
      </c>
      <c r="T28" s="1">
        <f>VLOOKUP(UNIFICADA[[#This Row],[Equipo]],EQUIPOS[],$T$9,0)</f>
        <v>71</v>
      </c>
    </row>
  </sheetData>
  <phoneticPr fontId="6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PRECIOS</vt:lpstr>
      <vt:lpstr>CARACTERISTICAS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2023-06-10T02:26:42Z</dcterms:modified>
</cp:coreProperties>
</file>